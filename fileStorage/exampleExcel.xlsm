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ЦяКнига"/>
  <mc:AlternateContent xmlns:mc="http://schemas.openxmlformats.org/markup-compatibility/2006">
    <mc:Choice Requires="x15">
      <x15ac:absPath xmlns:x15ac="http://schemas.microsoft.com/office/spreadsheetml/2010/11/ac" url="F:\gitHub-repo\project-road-map\src\backend\fileStorage\"/>
    </mc:Choice>
  </mc:AlternateContent>
  <xr:revisionPtr revIDLastSave="0" documentId="13_ncr:1_{D56D38AC-75E1-4E95-8F35-0B182DD7A10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Ш Лист 1" sheetId="3" r:id="rId1"/>
    <sheet name="Ш Лист 2" sheetId="4" r:id="rId2"/>
    <sheet name="Довідники" sheetId="2" r:id="rId3"/>
  </sheets>
  <definedNames>
    <definedName name="ArrivalDate">'Ш Лист 1'!$V$10</definedName>
    <definedName name="ArrivalTime">'Ш Лист 1'!$W$10</definedName>
    <definedName name="BaseDoc">'Ш Лист 1'!$S$33</definedName>
    <definedName name="BaseNumber">'Ш Лист 1'!$S$34</definedName>
    <definedName name="CountFuel">'Ш Лист 1'!$S$40</definedName>
    <definedName name="CountOil">'Ш Лист 1'!$S$44</definedName>
    <definedName name="Date">'Ш Лист 1'!$U$4</definedName>
    <definedName name="DateEndRL">'Ш Лист 1'!$N$2</definedName>
    <definedName name="DepartureDate">'Ш Лист 1'!$T$10</definedName>
    <definedName name="DepartureTime">'Ш Лист 1'!$U$10</definedName>
    <definedName name="EndSpeedometer1">'Ш Лист 1'!$R$12</definedName>
    <definedName name="EndSpeedometer10">'Ш Лист 1'!$R$30</definedName>
    <definedName name="EndSpeedometer2">'Ш Лист 1'!$R$14</definedName>
    <definedName name="EndSpeedometer3">'Ш Лист 1'!$R$16</definedName>
    <definedName name="EndSpeedometer4">'Ш Лист 1'!$R$18</definedName>
    <definedName name="EndSpeedometer5">'Ш Лист 1'!$R$20</definedName>
    <definedName name="EndSpeedometer6">'Ш Лист 1'!$R$22</definedName>
    <definedName name="EndSpeedometer7">'Ш Лист 1'!$R$24</definedName>
    <definedName name="EndSpeedometer8">'Ш Лист 1'!$R$26</definedName>
    <definedName name="EndSpeedometer9">'Ш Лист 1'!$R$28</definedName>
    <definedName name="FuelArea">'Ш Лист 1'!$J$36:$M$44</definedName>
    <definedName name="HeadTechCenter">'Ш Лист 1'!$U$5</definedName>
    <definedName name="HideOil">'Ш Лист 2'!$P$20</definedName>
    <definedName name="Mechanic">'Ш Лист 1'!$U$6</definedName>
    <definedName name="Number">'Ш Лист 1'!$O$3</definedName>
    <definedName name="OilAera">'Ш Лист 1'!$J$41:$M$44</definedName>
    <definedName name="Path">'Ш Лист 1'!$X$2</definedName>
    <definedName name="PIB">Таблиця3[ПІБ]</definedName>
    <definedName name="_xlnm.Print_Area" localSheetId="0">'Ш Лист 1'!$A$1:$R$44</definedName>
    <definedName name="_xlnm.Print_Area" localSheetId="1">'Ш Лист 2'!$A$1:$O$27</definedName>
    <definedName name="Receiver">'Ш Лист 1'!$F$9</definedName>
    <definedName name="Route">'Ш Лист 1'!$K$6</definedName>
    <definedName name="Routes">Таблиця4[маршрут]</definedName>
    <definedName name="Senjor">'Ш Лист 1'!$R$5</definedName>
    <definedName name="StartSpeedometer1">'Ш Лист 1'!$P$12</definedName>
    <definedName name="TripArea">'Ш Лист 1'!$T$12:$W$30</definedName>
    <definedName name="TripCount">'Ш Лист 1'!$X$32</definedName>
    <definedName name="TripRoutArea">'Ш Лист 2'!$A$6:$A$15</definedName>
    <definedName name="TypeRoad">Таблиця2[тип дорожнього покриття]</definedName>
    <definedName name="Vehicle">'Ш Лист 1'!$L$33</definedName>
    <definedName name="Vehicles">auto[назва автомобіля]</definedName>
    <definedName name="Verifier">'Ш Лист 2'!$N$26</definedName>
    <definedName name="СhiefVec">'Ш Лист 1'!$R$7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4" l="1"/>
  <c r="X32" i="3"/>
  <c r="U32" i="3"/>
  <c r="V32" i="3"/>
  <c r="W32" i="3"/>
  <c r="T32" i="3"/>
  <c r="S44" i="3"/>
  <c r="S40" i="3"/>
  <c r="G26" i="4"/>
  <c r="G20" i="4"/>
  <c r="E20" i="4"/>
  <c r="C21" i="4"/>
  <c r="C20" i="4"/>
  <c r="B20" i="4"/>
  <c r="A20" i="4"/>
  <c r="I41" i="3" s="1"/>
  <c r="I42" i="3"/>
  <c r="I43" i="3"/>
  <c r="I44" i="3"/>
  <c r="R5" i="3"/>
  <c r="M3" i="2"/>
  <c r="M4" i="2"/>
  <c r="J33" i="3"/>
  <c r="F4" i="3" s="1"/>
  <c r="L4" i="3"/>
  <c r="I38" i="3"/>
  <c r="I39" i="3"/>
  <c r="I40" i="3"/>
  <c r="L5" i="3"/>
  <c r="D1" i="3" s="1"/>
  <c r="AC3" i="2"/>
  <c r="AC4" i="2"/>
  <c r="J3" i="2"/>
  <c r="J4" i="2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Q30" i="3" l="1"/>
  <c r="O30" i="3"/>
  <c r="Q28" i="3"/>
  <c r="O28" i="3"/>
  <c r="Q26" i="3"/>
  <c r="O26" i="3"/>
  <c r="Q24" i="3"/>
  <c r="O24" i="3"/>
  <c r="Q22" i="3"/>
  <c r="O22" i="3"/>
  <c r="Q20" i="3"/>
  <c r="O20" i="3"/>
  <c r="Q18" i="3"/>
  <c r="O18" i="3"/>
  <c r="Q16" i="3"/>
  <c r="O16" i="3"/>
  <c r="Q14" i="3"/>
  <c r="O14" i="3"/>
  <c r="Q12" i="3"/>
  <c r="O12" i="3"/>
  <c r="R10" i="3"/>
  <c r="P10" i="3"/>
  <c r="O33" i="3"/>
  <c r="C26" i="3" s="1"/>
  <c r="N15" i="4"/>
  <c r="N14" i="4"/>
  <c r="N13" i="4"/>
  <c r="N12" i="4"/>
  <c r="N11" i="4"/>
  <c r="N10" i="4"/>
  <c r="N9" i="4"/>
  <c r="N8" i="4"/>
  <c r="N7" i="4"/>
  <c r="N6" i="4"/>
  <c r="M24" i="4"/>
  <c r="A18" i="4"/>
  <c r="B18" i="4"/>
  <c r="F6" i="4"/>
  <c r="G16" i="4"/>
  <c r="H16" i="4"/>
  <c r="I16" i="4"/>
  <c r="J16" i="4"/>
  <c r="K16" i="4"/>
  <c r="L16" i="4"/>
  <c r="M16" i="4"/>
  <c r="D16" i="4"/>
  <c r="E16" i="4"/>
  <c r="E1" i="3"/>
  <c r="C1" i="3"/>
  <c r="K33" i="3"/>
  <c r="B1" i="3"/>
  <c r="B33" i="3"/>
  <c r="A12" i="3"/>
  <c r="R38" i="3"/>
  <c r="P33" i="3"/>
  <c r="M33" i="3"/>
  <c r="B12" i="3" s="1"/>
  <c r="I33" i="3"/>
  <c r="M30" i="3"/>
  <c r="L30" i="3" s="1"/>
  <c r="M28" i="3"/>
  <c r="L28" i="3" s="1"/>
  <c r="M26" i="3"/>
  <c r="L26" i="3" s="1"/>
  <c r="M24" i="3"/>
  <c r="L24" i="3" s="1"/>
  <c r="M22" i="3"/>
  <c r="L22" i="3" s="1"/>
  <c r="M20" i="3"/>
  <c r="L20" i="3" s="1"/>
  <c r="M18" i="3"/>
  <c r="L18" i="3" s="1"/>
  <c r="M16" i="3"/>
  <c r="L16" i="3" s="1"/>
  <c r="M14" i="3"/>
  <c r="L14" i="3" s="1"/>
  <c r="M12" i="3"/>
  <c r="L12" i="3" s="1"/>
  <c r="P5" i="3"/>
  <c r="J5" i="3"/>
  <c r="D24" i="4" s="1"/>
  <c r="I7" i="3"/>
  <c r="N30" i="3"/>
  <c r="K30" i="3"/>
  <c r="J30" i="3"/>
  <c r="I30" i="3" s="1"/>
  <c r="N28" i="3"/>
  <c r="K28" i="3"/>
  <c r="J28" i="3"/>
  <c r="I28" i="3" s="1"/>
  <c r="N26" i="3"/>
  <c r="K26" i="3"/>
  <c r="J26" i="3"/>
  <c r="I26" i="3" s="1"/>
  <c r="N24" i="3"/>
  <c r="K24" i="3"/>
  <c r="J24" i="3"/>
  <c r="I24" i="3" s="1"/>
  <c r="N22" i="3"/>
  <c r="K22" i="3"/>
  <c r="J22" i="3"/>
  <c r="I22" i="3" s="1"/>
  <c r="N20" i="3"/>
  <c r="K20" i="3"/>
  <c r="J20" i="3"/>
  <c r="I20" i="3" s="1"/>
  <c r="N18" i="3"/>
  <c r="K18" i="3"/>
  <c r="J18" i="3"/>
  <c r="I18" i="3" s="1"/>
  <c r="N16" i="3"/>
  <c r="K16" i="3"/>
  <c r="J16" i="3"/>
  <c r="I16" i="3" s="1"/>
  <c r="N14" i="3"/>
  <c r="K14" i="3"/>
  <c r="J14" i="3"/>
  <c r="I14" i="3" s="1"/>
  <c r="P30" i="3"/>
  <c r="F15" i="4" s="1"/>
  <c r="P28" i="3"/>
  <c r="F14" i="4" s="1"/>
  <c r="P26" i="3"/>
  <c r="F13" i="4" s="1"/>
  <c r="P24" i="3"/>
  <c r="F12" i="4" s="1"/>
  <c r="P22" i="3"/>
  <c r="F11" i="4" s="1"/>
  <c r="P20" i="3"/>
  <c r="F10" i="4" s="1"/>
  <c r="P18" i="3"/>
  <c r="F9" i="4" s="1"/>
  <c r="P16" i="3"/>
  <c r="F8" i="4" s="1"/>
  <c r="P14" i="3"/>
  <c r="F7" i="4" s="1"/>
  <c r="N12" i="3"/>
  <c r="K12" i="3"/>
  <c r="J12" i="3"/>
  <c r="I12" i="3" s="1"/>
  <c r="I36" i="3" l="1"/>
  <c r="I37" i="3"/>
  <c r="F16" i="4"/>
  <c r="R44" i="3"/>
  <c r="Q44" i="3"/>
  <c r="Q42" i="3"/>
  <c r="R43" i="3"/>
  <c r="R42" i="3"/>
  <c r="R39" i="3"/>
  <c r="Q40" i="3"/>
  <c r="R40" i="3"/>
  <c r="Q39" i="3"/>
  <c r="Q38" i="3"/>
  <c r="Q37" i="3" l="1"/>
  <c r="R37" i="3"/>
  <c r="D18" i="4"/>
  <c r="H18" i="4" s="1"/>
  <c r="B22" i="4"/>
  <c r="Q43" i="3"/>
  <c r="O36" i="3" l="1"/>
  <c r="N36" i="3" s="1"/>
  <c r="D20" i="4"/>
  <c r="F20" i="4" s="1"/>
  <c r="O41" i="3" s="1"/>
  <c r="N41" i="3" s="1"/>
  <c r="B23" i="4"/>
  <c r="P36" i="3" l="1"/>
  <c r="R36" i="3" s="1"/>
  <c r="P41" i="3"/>
  <c r="Q41" i="3" s="1"/>
  <c r="Q36" i="3" l="1"/>
  <c r="R41" i="3"/>
</calcChain>
</file>

<file path=xl/sharedStrings.xml><?xml version="1.0" encoding="utf-8"?>
<sst xmlns="http://schemas.openxmlformats.org/spreadsheetml/2006/main" count="267" uniqueCount="166">
  <si>
    <t>Водій</t>
  </si>
  <si>
    <t>Старший машини</t>
  </si>
  <si>
    <t>Старший технік (технік) підрозділу</t>
  </si>
  <si>
    <t>Начальник КТП</t>
  </si>
  <si>
    <t>Вибуття</t>
  </si>
  <si>
    <t>За нарядом</t>
  </si>
  <si>
    <t>Прибуття</t>
  </si>
  <si>
    <t>номер документа</t>
  </si>
  <si>
    <t>дата документа</t>
  </si>
  <si>
    <t>підстава (мета) виписки</t>
  </si>
  <si>
    <t>марка машини</t>
  </si>
  <si>
    <t>номерний знак машини</t>
  </si>
  <si>
    <t>Найменування ПММ</t>
  </si>
  <si>
    <t>Наявність перед виїздом</t>
  </si>
  <si>
    <t>Отримано</t>
  </si>
  <si>
    <t>Наявність під час постановки на стоянку</t>
  </si>
  <si>
    <t>Належить за нормою</t>
  </si>
  <si>
    <t>Дата і час (години, хвилини)</t>
  </si>
  <si>
    <t>вибуття</t>
  </si>
  <si>
    <t>прибуття</t>
  </si>
  <si>
    <t>Пройдено кілометрів</t>
  </si>
  <si>
    <t>усього</t>
  </si>
  <si>
    <t>Показання спідометра, час  і місце відпускання машини, підпис старшого машини (особи, яка використовувала машину)</t>
  </si>
  <si>
    <t>назва автомобіля</t>
  </si>
  <si>
    <t>номерний знак</t>
  </si>
  <si>
    <t>тип палива</t>
  </si>
  <si>
    <t>розхід палива на 100 км</t>
  </si>
  <si>
    <t>тип мастила</t>
  </si>
  <si>
    <t>група експлуатації</t>
  </si>
  <si>
    <t>жигуль</t>
  </si>
  <si>
    <t>аа2245аа</t>
  </si>
  <si>
    <t>Бензин</t>
  </si>
  <si>
    <t>тр</t>
  </si>
  <si>
    <t>тип дорожнього покриття</t>
  </si>
  <si>
    <t>поправка</t>
  </si>
  <si>
    <t>Рух по дорозі з покращеним покриттям</t>
  </si>
  <si>
    <t>звання</t>
  </si>
  <si>
    <t>посада</t>
  </si>
  <si>
    <t>ПІБ</t>
  </si>
  <si>
    <t>капітан</t>
  </si>
  <si>
    <t>Майбах М.Б.</t>
  </si>
  <si>
    <t>солдат</t>
  </si>
  <si>
    <t>Руль В.М.</t>
  </si>
  <si>
    <t>начальник КТП</t>
  </si>
  <si>
    <t>технік</t>
  </si>
  <si>
    <t>лейтенант</t>
  </si>
  <si>
    <t>Солярка К.Р.</t>
  </si>
  <si>
    <t>старший машини</t>
  </si>
  <si>
    <t>майор</t>
  </si>
  <si>
    <t>Дрин А.П.</t>
  </si>
  <si>
    <t>водій</t>
  </si>
  <si>
    <t>Фара К.Л.</t>
  </si>
  <si>
    <t>бетмобіль</t>
  </si>
  <si>
    <t>ВВ4535ОО</t>
  </si>
  <si>
    <t>ДТ</t>
  </si>
  <si>
    <t>марка причепа</t>
  </si>
  <si>
    <t>номерний знак причепа</t>
  </si>
  <si>
    <t>вантаж, що перевозиться</t>
  </si>
  <si>
    <t>маса вантажу, т</t>
  </si>
  <si>
    <t>Фактично</t>
  </si>
  <si>
    <t>Машина технічно справна</t>
  </si>
  <si>
    <t>Технічний стан</t>
  </si>
  <si>
    <t>машини перевірив</t>
  </si>
  <si>
    <t>поїздка</t>
  </si>
  <si>
    <t>Дата</t>
  </si>
  <si>
    <t>Час</t>
  </si>
  <si>
    <t>(години, хв., дата, показання спідометра, п-с чергового парку)</t>
  </si>
  <si>
    <t>(військове звання, підпис, прізвище)</t>
  </si>
  <si>
    <t>Технік</t>
  </si>
  <si>
    <t>звання скорочено</t>
  </si>
  <si>
    <t>к-н</t>
  </si>
  <si>
    <t>л-т</t>
  </si>
  <si>
    <t>солд</t>
  </si>
  <si>
    <t>м-р</t>
  </si>
  <si>
    <t>м.п.</t>
  </si>
  <si>
    <t>(посада, військове звання, підпис, прізвище, ініціали)</t>
  </si>
  <si>
    <t>Начальник автомобільної служби</t>
  </si>
  <si>
    <t>Маршрут руху:</t>
  </si>
  <si>
    <t>Військова частина (підрозділ)</t>
  </si>
  <si>
    <t>А0000 (ПВЗ)</t>
  </si>
  <si>
    <t>ДОРОЖНІЙ ЛИСТ №</t>
  </si>
  <si>
    <t>Дійсний до</t>
  </si>
  <si>
    <t>року</t>
  </si>
  <si>
    <t>Збройних Силах України (пункт 4 розділу ХVІІІ)</t>
  </si>
  <si>
    <t xml:space="preserve">Додаток 82
до Інструкції з обліку військового майна у </t>
  </si>
  <si>
    <t>1. Витрата пально-мастильних матеріалів (у літрах)</t>
  </si>
  <si>
    <t>Код номенклатури</t>
  </si>
  <si>
    <t>Економія</t>
  </si>
  <si>
    <t>Перевитрата</t>
  </si>
  <si>
    <t>Дата документа</t>
  </si>
  <si>
    <t>так</t>
  </si>
  <si>
    <t>КОРІНЕЦЬ ДОРОЖНЬОГО ЛИСТА №</t>
  </si>
  <si>
    <t>Марка машини</t>
  </si>
  <si>
    <t>група експлуатації2</t>
  </si>
  <si>
    <t>транспортна</t>
  </si>
  <si>
    <t>Номерний знак машини</t>
  </si>
  <si>
    <t>Марка причепа</t>
  </si>
  <si>
    <t>Номерний знак причепа</t>
  </si>
  <si>
    <t>Наряд №</t>
  </si>
  <si>
    <t>Група експлуатації</t>
  </si>
  <si>
    <t>Підстава:</t>
  </si>
  <si>
    <t>У розпорядження</t>
  </si>
  <si>
    <t>Маршрут руху</t>
  </si>
  <si>
    <t>Дорожній лист отримав</t>
  </si>
  <si>
    <t>(підпис, прізвище, ініціали)</t>
  </si>
  <si>
    <t>кількість, т</t>
  </si>
  <si>
    <t>найменування вантажу</t>
  </si>
  <si>
    <t>під час руху</t>
  </si>
  <si>
    <t>на місці</t>
  </si>
  <si>
    <t>на буксирі (на плаву)</t>
  </si>
  <si>
    <t>без вантажу</t>
  </si>
  <si>
    <t>з вантажем</t>
  </si>
  <si>
    <t>Маршрут 
руху (звідки, куди)</t>
  </si>
  <si>
    <t>у тому числі</t>
  </si>
  <si>
    <t>з причепом</t>
  </si>
  <si>
    <t>Відпра-цьовано мотогодин</t>
  </si>
  <si>
    <t>Виконана робота</t>
  </si>
  <si>
    <t>Корінець дорожнього листа</t>
  </si>
  <si>
    <t>Всього:</t>
  </si>
  <si>
    <t>x</t>
  </si>
  <si>
    <t>=</t>
  </si>
  <si>
    <t>-</t>
  </si>
  <si>
    <t>л</t>
  </si>
  <si>
    <t>Олива 30 w40</t>
  </si>
  <si>
    <t>Олива 10 w40</t>
  </si>
  <si>
    <t>"____"__________________</t>
  </si>
  <si>
    <r>
      <t xml:space="preserve">Правильність оформлення </t>
    </r>
    <r>
      <rPr>
        <sz val="12"/>
        <color theme="1"/>
        <rFont val="Times New Roman"/>
        <family val="1"/>
        <charset val="204"/>
      </rPr>
      <t xml:space="preserve">дорожнього </t>
    </r>
    <r>
      <rPr>
        <sz val="12"/>
        <color rgb="FF000000"/>
        <rFont val="Times New Roman"/>
        <family val="1"/>
        <charset val="204"/>
      </rPr>
      <t>листа перевірив</t>
    </r>
  </si>
  <si>
    <t>Водій (механік-водій)</t>
  </si>
  <si>
    <t>(військове звання, підпис, прізвище, ініціали)</t>
  </si>
  <si>
    <t>Всього витрачено:</t>
  </si>
  <si>
    <t>Всього пройдено:</t>
  </si>
  <si>
    <t>км</t>
  </si>
  <si>
    <t>(посада, військове звання,  підпис,  прізвище, ініціали)</t>
  </si>
  <si>
    <t>2.Робота машини</t>
  </si>
  <si>
    <t>розхід оливи</t>
  </si>
  <si>
    <t>Адреса збереження PDF:</t>
  </si>
  <si>
    <t>звання водія</t>
  </si>
  <si>
    <t>Звідки</t>
  </si>
  <si>
    <t>Куди</t>
  </si>
  <si>
    <t>в один кінець</t>
  </si>
  <si>
    <t>маршрут</t>
  </si>
  <si>
    <t>Кременець</t>
  </si>
  <si>
    <t>Тернопіль</t>
  </si>
  <si>
    <t>Львів</t>
  </si>
  <si>
    <t>Хмельницький</t>
  </si>
  <si>
    <t>Витрачено</t>
  </si>
  <si>
    <t>Підрозділ</t>
  </si>
  <si>
    <t>Старший</t>
  </si>
  <si>
    <t>Звання старшого</t>
  </si>
  <si>
    <t>Кременець - Тернопіль</t>
  </si>
  <si>
    <t>=IFERROR(INDEX(Таблиця3[посада];MATCH(N26;Таблиця3[ПІБ];0));"")&amp;", "&amp;IFERROR(INDEX(Таблиця3[звання];MATCH(N26;Таблиця3[ПІБ];0));"")</t>
  </si>
  <si>
    <t>EndSpeedometer1</t>
  </si>
  <si>
    <t>EndSpeedometer2</t>
  </si>
  <si>
    <t>EndSpeedometer3</t>
  </si>
  <si>
    <t>EndSpeedometer4</t>
  </si>
  <si>
    <t>EndSpeedometer5</t>
  </si>
  <si>
    <t>EndSpeedometer6</t>
  </si>
  <si>
    <t>EndSpeedometer7</t>
  </si>
  <si>
    <t>EndSpeedometer8</t>
  </si>
  <si>
    <t>EndSpeedometer9</t>
  </si>
  <si>
    <t>EndSpeedometer10</t>
  </si>
  <si>
    <t>ThisWorkbook.Worksheets(1).Range("</t>
  </si>
  <si>
    <t>")</t>
  </si>
  <si>
    <t>.ClearContents</t>
  </si>
  <si>
    <t>Львів - Хмельницький - Львів</t>
  </si>
  <si>
    <t>C:\Users\zdane\Desktop\Шляховий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</si>
</sst>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sz val="5"/>
      <color rgb="FF000000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9"/>
      <color rgb="FFC0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i/>
      <sz val="12"/>
      <color rgb="FFC00000"/>
      <name val="Times New Roman"/>
      <family val="1"/>
      <charset val="204"/>
    </font>
    <font>
      <i/>
      <sz val="11"/>
      <color rgb="FFC00000"/>
      <name val="Times New Roman"/>
      <family val="1"/>
      <charset val="204"/>
    </font>
    <font>
      <sz val="8"/>
      <color rgb="FFC00000"/>
      <name val="Times New Roman"/>
      <family val="1"/>
      <charset val="204"/>
    </font>
    <font>
      <sz val="11"/>
      <color rgb="FF7030A0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3">
    <xf numFmtId="0" fontId="0" fillId="0" borderId="0" xfId="0"/>
    <xf numFmtId="9" fontId="0" fillId="0" borderId="0" xfId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7" fillId="0" borderId="3" xfId="0" applyFont="1" applyBorder="1" applyAlignment="1">
      <alignment vertical="center"/>
    </xf>
    <xf numFmtId="14" fontId="7" fillId="0" borderId="4" xfId="0" applyNumberFormat="1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14" fontId="7" fillId="0" borderId="4" xfId="0" applyNumberFormat="1" applyFont="1" applyBorder="1"/>
    <xf numFmtId="0" fontId="7" fillId="0" borderId="4" xfId="0" applyFont="1" applyBorder="1" applyAlignment="1">
      <alignment horizontal="lef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14" fontId="5" fillId="0" borderId="4" xfId="0" applyNumberFormat="1" applyFont="1" applyBorder="1"/>
    <xf numFmtId="0" fontId="5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8" fillId="0" borderId="7" xfId="0" applyFont="1" applyBorder="1"/>
    <xf numFmtId="0" fontId="7" fillId="0" borderId="7" xfId="0" applyFont="1" applyBorder="1" applyAlignment="1">
      <alignment horizontal="center" vertical="center"/>
    </xf>
    <xf numFmtId="0" fontId="7" fillId="0" borderId="7" xfId="0" applyFont="1" applyBorder="1"/>
    <xf numFmtId="0" fontId="10" fillId="0" borderId="0" xfId="0" applyFont="1" applyAlignment="1">
      <alignment vertical="top"/>
    </xf>
    <xf numFmtId="0" fontId="2" fillId="0" borderId="0" xfId="0" applyFont="1" applyAlignment="1">
      <alignment horizontal="centerContinuous" vertical="top"/>
    </xf>
    <xf numFmtId="0" fontId="10" fillId="0" borderId="0" xfId="0" applyFont="1" applyAlignment="1">
      <alignment horizontal="centerContinuous" vertical="top"/>
    </xf>
    <xf numFmtId="0" fontId="5" fillId="0" borderId="9" xfId="0" applyFont="1" applyBorder="1"/>
    <xf numFmtId="0" fontId="11" fillId="0" borderId="9" xfId="0" applyFont="1" applyBorder="1"/>
    <xf numFmtId="0" fontId="12" fillId="0" borderId="9" xfId="0" applyFont="1" applyBorder="1"/>
    <xf numFmtId="0" fontId="13" fillId="0" borderId="9" xfId="0" applyFont="1" applyBorder="1"/>
    <xf numFmtId="0" fontId="1" fillId="0" borderId="0" xfId="0" applyFont="1"/>
    <xf numFmtId="0" fontId="13" fillId="0" borderId="0" xfId="0" applyFont="1"/>
    <xf numFmtId="0" fontId="5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left" vertical="center" wrapText="1" indent="1"/>
    </xf>
    <xf numFmtId="0" fontId="15" fillId="0" borderId="0" xfId="0" applyFont="1" applyAlignment="1">
      <alignment vertical="top"/>
    </xf>
    <xf numFmtId="0" fontId="9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8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14" fontId="8" fillId="0" borderId="7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textRotation="90"/>
    </xf>
    <xf numFmtId="0" fontId="5" fillId="0" borderId="0" xfId="0" applyFont="1" applyAlignment="1">
      <alignment horizontal="center" textRotation="90"/>
    </xf>
    <xf numFmtId="0" fontId="5" fillId="0" borderId="0" xfId="0" applyFont="1" applyAlignment="1">
      <alignment textRotation="90"/>
    </xf>
    <xf numFmtId="0" fontId="5" fillId="0" borderId="16" xfId="0" applyFont="1" applyBorder="1" applyAlignment="1">
      <alignment textRotation="90"/>
    </xf>
    <xf numFmtId="0" fontId="8" fillId="0" borderId="16" xfId="0" applyFont="1" applyBorder="1" applyAlignment="1">
      <alignment horizontal="center" vertical="center" textRotation="90"/>
    </xf>
    <xf numFmtId="14" fontId="5" fillId="0" borderId="0" xfId="0" applyNumberFormat="1" applyFont="1" applyAlignment="1">
      <alignment horizontal="center" textRotation="90"/>
    </xf>
    <xf numFmtId="0" fontId="5" fillId="0" borderId="17" xfId="0" applyFont="1" applyBorder="1"/>
    <xf numFmtId="0" fontId="0" fillId="0" borderId="17" xfId="0" applyBorder="1"/>
    <xf numFmtId="0" fontId="8" fillId="0" borderId="1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7" xfId="0" applyBorder="1"/>
    <xf numFmtId="0" fontId="5" fillId="0" borderId="7" xfId="0" applyFont="1" applyBorder="1"/>
    <xf numFmtId="0" fontId="1" fillId="0" borderId="7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 wrapText="1"/>
    </xf>
    <xf numFmtId="0" fontId="13" fillId="0" borderId="7" xfId="0" applyFont="1" applyBorder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center" wrapText="1"/>
    </xf>
    <xf numFmtId="164" fontId="5" fillId="0" borderId="7" xfId="2" applyNumberFormat="1" applyFont="1" applyBorder="1"/>
    <xf numFmtId="0" fontId="0" fillId="0" borderId="9" xfId="0" applyBorder="1"/>
    <xf numFmtId="0" fontId="5" fillId="0" borderId="9" xfId="0" applyFont="1" applyBorder="1" applyAlignment="1">
      <alignment horizontal="center" vertical="center"/>
    </xf>
    <xf numFmtId="164" fontId="5" fillId="0" borderId="9" xfId="0" applyNumberFormat="1" applyFont="1" applyBorder="1"/>
    <xf numFmtId="0" fontId="13" fillId="0" borderId="0" xfId="0" applyFont="1" applyAlignment="1">
      <alignment horizontal="center" vertical="center"/>
    </xf>
    <xf numFmtId="164" fontId="5" fillId="0" borderId="0" xfId="0" applyNumberFormat="1" applyFont="1"/>
    <xf numFmtId="0" fontId="7" fillId="0" borderId="7" xfId="0" applyFont="1" applyBorder="1" applyAlignment="1">
      <alignment vertical="center" wrapText="1"/>
    </xf>
    <xf numFmtId="14" fontId="18" fillId="2" borderId="7" xfId="0" applyNumberFormat="1" applyFont="1" applyFill="1" applyBorder="1" applyAlignment="1">
      <alignment horizontal="center" vertical="center"/>
    </xf>
    <xf numFmtId="0" fontId="18" fillId="2" borderId="7" xfId="0" applyFont="1" applyFill="1" applyBorder="1"/>
    <xf numFmtId="0" fontId="18" fillId="0" borderId="10" xfId="0" applyFont="1" applyBorder="1"/>
    <xf numFmtId="0" fontId="18" fillId="0" borderId="11" xfId="0" applyFont="1" applyBorder="1"/>
    <xf numFmtId="14" fontId="19" fillId="2" borderId="12" xfId="0" applyNumberFormat="1" applyFont="1" applyFill="1" applyBorder="1" applyAlignment="1">
      <alignment horizontal="center" vertical="center"/>
    </xf>
    <xf numFmtId="20" fontId="19" fillId="2" borderId="13" xfId="0" applyNumberFormat="1" applyFont="1" applyFill="1" applyBorder="1" applyAlignment="1">
      <alignment horizontal="center" vertical="center"/>
    </xf>
    <xf numFmtId="14" fontId="18" fillId="0" borderId="12" xfId="0" applyNumberFormat="1" applyFont="1" applyBorder="1"/>
    <xf numFmtId="20" fontId="18" fillId="0" borderId="13" xfId="0" applyNumberFormat="1" applyFont="1" applyBorder="1"/>
    <xf numFmtId="14" fontId="19" fillId="0" borderId="12" xfId="0" applyNumberFormat="1" applyFont="1" applyBorder="1" applyAlignment="1">
      <alignment horizontal="center" vertical="center"/>
    </xf>
    <xf numFmtId="14" fontId="18" fillId="0" borderId="14" xfId="0" applyNumberFormat="1" applyFont="1" applyBorder="1"/>
    <xf numFmtId="20" fontId="18" fillId="0" borderId="15" xfId="0" applyNumberFormat="1" applyFont="1" applyBorder="1"/>
    <xf numFmtId="14" fontId="19" fillId="0" borderId="14" xfId="0" applyNumberFormat="1" applyFont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vertical="center" wrapText="1"/>
    </xf>
    <xf numFmtId="14" fontId="19" fillId="2" borderId="7" xfId="0" applyNumberFormat="1" applyFont="1" applyFill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left" vertical="center"/>
    </xf>
    <xf numFmtId="14" fontId="21" fillId="2" borderId="0" xfId="0" applyNumberFormat="1" applyFont="1" applyFill="1"/>
    <xf numFmtId="0" fontId="21" fillId="2" borderId="9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right"/>
    </xf>
    <xf numFmtId="0" fontId="24" fillId="2" borderId="7" xfId="0" applyFont="1" applyFill="1" applyBorder="1"/>
    <xf numFmtId="0" fontId="18" fillId="2" borderId="0" xfId="0" applyFont="1" applyFill="1"/>
    <xf numFmtId="0" fontId="0" fillId="0" borderId="0" xfId="0" applyAlignment="1">
      <alignment horizontal="left"/>
    </xf>
    <xf numFmtId="0" fontId="18" fillId="2" borderId="9" xfId="0" applyFont="1" applyFill="1" applyBorder="1" applyAlignment="1">
      <alignment horizontal="right"/>
    </xf>
    <xf numFmtId="0" fontId="25" fillId="0" borderId="0" xfId="0" applyFont="1"/>
    <xf numFmtId="0" fontId="0" fillId="2" borderId="0" xfId="0" applyFill="1"/>
    <xf numFmtId="0" fontId="19" fillId="3" borderId="7" xfId="0" applyFont="1" applyFill="1" applyBorder="1" applyAlignment="1">
      <alignment vertical="center" wrapText="1"/>
    </xf>
    <xf numFmtId="14" fontId="19" fillId="3" borderId="7" xfId="0" applyNumberFormat="1" applyFont="1" applyFill="1" applyBorder="1" applyAlignment="1">
      <alignment vertical="center" wrapText="1"/>
    </xf>
    <xf numFmtId="0" fontId="26" fillId="0" borderId="9" xfId="0" applyFont="1" applyBorder="1" applyAlignment="1">
      <alignment horizontal="left"/>
    </xf>
    <xf numFmtId="0" fontId="27" fillId="0" borderId="9" xfId="0" applyFont="1" applyBorder="1"/>
    <xf numFmtId="0" fontId="19" fillId="0" borderId="7" xfId="0" applyFont="1" applyBorder="1" applyAlignment="1">
      <alignment vertical="center" wrapText="1"/>
    </xf>
    <xf numFmtId="0" fontId="0" fillId="0" borderId="0" xfId="0" quotePrefix="1"/>
    <xf numFmtId="0" fontId="7" fillId="0" borderId="5" xfId="0" applyFont="1" applyBorder="1" applyAlignment="1">
      <alignment vertical="center" wrapText="1"/>
    </xf>
    <xf numFmtId="0" fontId="18" fillId="2" borderId="19" xfId="0" applyFont="1" applyFill="1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14" fontId="19" fillId="2" borderId="22" xfId="0" applyNumberFormat="1" applyFont="1" applyFill="1" applyBorder="1" applyAlignment="1">
      <alignment horizontal="center" vertical="center"/>
    </xf>
    <xf numFmtId="20" fontId="19" fillId="2" borderId="23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7" fillId="0" borderId="0" xfId="0" applyFont="1" applyAlignment="1">
      <alignment horizontal="center" textRotation="90"/>
    </xf>
    <xf numFmtId="0" fontId="17" fillId="0" borderId="16" xfId="0" applyFont="1" applyBorder="1" applyAlignment="1">
      <alignment horizontal="center" textRotation="90"/>
    </xf>
    <xf numFmtId="0" fontId="21" fillId="2" borderId="9" xfId="0" applyFont="1" applyFill="1" applyBorder="1" applyAlignment="1">
      <alignment horizontal="left"/>
    </xf>
    <xf numFmtId="0" fontId="10" fillId="0" borderId="18" xfId="0" applyFont="1" applyBorder="1" applyAlignment="1">
      <alignment horizontal="left" vertical="center" textRotation="90"/>
    </xf>
    <xf numFmtId="0" fontId="15" fillId="0" borderId="0" xfId="0" applyFont="1" applyAlignment="1">
      <alignment horizontal="left" vertical="top" wrapText="1"/>
    </xf>
    <xf numFmtId="0" fontId="8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4" fontId="18" fillId="0" borderId="3" xfId="0" applyNumberFormat="1" applyFont="1" applyBorder="1" applyAlignment="1">
      <alignment horizontal="center" textRotation="90"/>
    </xf>
    <xf numFmtId="14" fontId="5" fillId="0" borderId="3" xfId="0" applyNumberFormat="1" applyFont="1" applyBorder="1" applyAlignment="1">
      <alignment horizontal="center" textRotation="90"/>
    </xf>
    <xf numFmtId="0" fontId="23" fillId="2" borderId="16" xfId="0" applyFont="1" applyFill="1" applyBorder="1" applyAlignment="1">
      <alignment horizontal="center" textRotation="90"/>
    </xf>
    <xf numFmtId="0" fontId="28" fillId="0" borderId="4" xfId="0" applyFont="1" applyBorder="1" applyAlignment="1">
      <alignment horizontal="center" textRotation="90"/>
    </xf>
    <xf numFmtId="43" fontId="11" fillId="0" borderId="4" xfId="2" applyFont="1" applyBorder="1" applyAlignment="1">
      <alignment horizontal="center" textRotation="90"/>
    </xf>
    <xf numFmtId="43" fontId="11" fillId="0" borderId="4" xfId="2" applyFont="1" applyBorder="1" applyAlignment="1">
      <alignment horizontal="center" vertical="center" textRotation="90"/>
    </xf>
    <xf numFmtId="0" fontId="11" fillId="0" borderId="4" xfId="0" applyFont="1" applyBorder="1" applyAlignment="1">
      <alignment horizontal="center" textRotation="90"/>
    </xf>
    <xf numFmtId="0" fontId="11" fillId="0" borderId="4" xfId="0" applyFont="1" applyBorder="1" applyAlignment="1">
      <alignment horizontal="center" vertical="center" textRotation="90"/>
    </xf>
    <xf numFmtId="0" fontId="8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4" fillId="0" borderId="0" xfId="0" applyFont="1" applyAlignment="1">
      <alignment horizontal="center" textRotation="90"/>
    </xf>
    <xf numFmtId="0" fontId="14" fillId="0" borderId="4" xfId="0" applyFont="1" applyBorder="1" applyAlignment="1">
      <alignment horizontal="center" textRotation="90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5" fillId="0" borderId="9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2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9" fontId="5" fillId="0" borderId="0" xfId="1" applyFont="1" applyAlignment="1">
      <alignment horizontal="center" vertical="center"/>
    </xf>
    <xf numFmtId="164" fontId="5" fillId="0" borderId="0" xfId="2" applyNumberFormat="1" applyFont="1" applyAlignment="1">
      <alignment horizontal="center" vertical="center"/>
    </xf>
    <xf numFmtId="0" fontId="13" fillId="0" borderId="7" xfId="0" applyFont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23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alignment horizontal="general" vertical="bottom" textRotation="0" wrapText="1" indent="0" justifyLastLine="0" shrinkToFit="0" readingOrder="0"/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  <color rgb="FFFF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O$3" max="30000" page="10" val="35"/>
</file>

<file path=xl/ctrlProps/ctrlProp2.xml><?xml version="1.0" encoding="utf-8"?>
<formControlPr xmlns="http://schemas.microsoft.com/office/spreadsheetml/2009/9/main" objectType="CheckBox" checked="Checked" fmlaLink="$P$20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44</xdr:row>
      <xdr:rowOff>45720</xdr:rowOff>
    </xdr:from>
    <xdr:to>
      <xdr:col>7</xdr:col>
      <xdr:colOff>7620</xdr:colOff>
      <xdr:row>47</xdr:row>
      <xdr:rowOff>68580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" y="665226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18</xdr:col>
      <xdr:colOff>37010</xdr:colOff>
      <xdr:row>0</xdr:row>
      <xdr:rowOff>0</xdr:rowOff>
    </xdr:from>
    <xdr:to>
      <xdr:col>20</xdr:col>
      <xdr:colOff>154594</xdr:colOff>
      <xdr:row>3</xdr:row>
      <xdr:rowOff>13278</xdr:rowOff>
    </xdr:to>
    <xdr:sp macro="[0]!SavePDF" textlink="">
      <xdr:nvSpPr>
        <xdr:cNvPr id="3" name="Прямокутник: округлені кут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240645" y="0"/>
          <a:ext cx="1422923" cy="5234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Зберегти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дорожній лист в</a:t>
          </a:r>
          <a:r>
            <a:rPr lang="en-US" sz="1100" b="1" baseline="0">
              <a:solidFill>
                <a:schemeClr val="accent4">
                  <a:lumMod val="75000"/>
                </a:schemeClr>
              </a:solidFill>
            </a:rPr>
            <a:t> PDF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" panose="05000000000000000000" pitchFamily="2" charset="2"/>
            </a:rPr>
            <a:t>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200025</xdr:rowOff>
        </xdr:from>
        <xdr:to>
          <xdr:col>15</xdr:col>
          <xdr:colOff>371475</xdr:colOff>
          <xdr:row>3</xdr:row>
          <xdr:rowOff>114300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8</xdr:col>
      <xdr:colOff>33380</xdr:colOff>
      <xdr:row>0</xdr:row>
      <xdr:rowOff>0</xdr:rowOff>
    </xdr:from>
    <xdr:to>
      <xdr:col>10</xdr:col>
      <xdr:colOff>125896</xdr:colOff>
      <xdr:row>3</xdr:row>
      <xdr:rowOff>20198</xdr:rowOff>
    </xdr:to>
    <xdr:sp macro="[0]!AddBasiInfo" textlink="">
      <xdr:nvSpPr>
        <xdr:cNvPr id="4" name="Прямокутник: округлені кут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44737" y="0"/>
          <a:ext cx="1444237" cy="53040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Заповнити загальну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</a:rPr>
            <a:t> інформцію 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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21</xdr:col>
      <xdr:colOff>443949</xdr:colOff>
      <xdr:row>32</xdr:row>
      <xdr:rowOff>46382</xdr:rowOff>
    </xdr:from>
    <xdr:to>
      <xdr:col>23</xdr:col>
      <xdr:colOff>86140</xdr:colOff>
      <xdr:row>34</xdr:row>
      <xdr:rowOff>265043</xdr:rowOff>
    </xdr:to>
    <xdr:sp macro="[0]!ClearTrip" textlink="">
      <xdr:nvSpPr>
        <xdr:cNvPr id="5" name="Прямокутник: округлені кут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4923" y="4147930"/>
          <a:ext cx="947530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поїздки </a:t>
          </a:r>
          <a:r>
            <a:rPr lang="uk-UA" sz="1100" b="1" baseline="0">
              <a:solidFill>
                <a:srgbClr val="FF9999"/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26505</xdr:colOff>
      <xdr:row>34</xdr:row>
      <xdr:rowOff>33133</xdr:rowOff>
    </xdr:from>
    <xdr:to>
      <xdr:col>19</xdr:col>
      <xdr:colOff>238539</xdr:colOff>
      <xdr:row>37</xdr:row>
      <xdr:rowOff>6628</xdr:rowOff>
    </xdr:to>
    <xdr:sp macro="[0]!ClearFuel" textlink="">
      <xdr:nvSpPr>
        <xdr:cNvPr id="6" name="Прямокутник: округлені кут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230140" y="4611759"/>
          <a:ext cx="821634" cy="69573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9999"/>
              </a:solidFill>
            </a:rPr>
            <a:t>Очистити</a:t>
          </a:r>
          <a:r>
            <a:rPr lang="uk-UA" sz="1100" b="1" baseline="0">
              <a:solidFill>
                <a:srgbClr val="FF9999"/>
              </a:solidFill>
            </a:rPr>
            <a:t> ПММ </a:t>
          </a:r>
          <a:br>
            <a:rPr lang="uk-UA" sz="1100" b="1" baseline="0">
              <a:solidFill>
                <a:srgbClr val="FF9999"/>
              </a:solidFill>
            </a:rPr>
          </a:br>
          <a:r>
            <a:rPr lang="uk-UA" sz="1100" b="1" baseline="0">
              <a:solidFill>
                <a:srgbClr val="FF9999"/>
              </a:solidFill>
              <a:sym typeface="Wingdings 2" panose="05020102010507070707" pitchFamily="18" charset="2"/>
            </a:rPr>
            <a:t></a:t>
          </a:r>
          <a:endParaRPr lang="uk-UA" sz="1100" b="1">
            <a:solidFill>
              <a:srgbClr val="FF9999"/>
            </a:solidFill>
          </a:endParaRPr>
        </a:p>
      </xdr:txBody>
    </xdr:sp>
    <xdr:clientData fPrintsWithSheet="0"/>
  </xdr:twoCellAnchor>
  <xdr:twoCellAnchor>
    <xdr:from>
      <xdr:col>18</xdr:col>
      <xdr:colOff>26504</xdr:colOff>
      <xdr:row>38</xdr:row>
      <xdr:rowOff>112643</xdr:rowOff>
    </xdr:from>
    <xdr:to>
      <xdr:col>19</xdr:col>
      <xdr:colOff>238538</xdr:colOff>
      <xdr:row>43</xdr:row>
      <xdr:rowOff>112642</xdr:rowOff>
    </xdr:to>
    <xdr:sp macro="[0]!AddFuel" textlink="">
      <xdr:nvSpPr>
        <xdr:cNvPr id="7" name="Прямокутник: округлені кути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230139" y="555266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ПММ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19</xdr:col>
      <xdr:colOff>662606</xdr:colOff>
      <xdr:row>32</xdr:row>
      <xdr:rowOff>46382</xdr:rowOff>
    </xdr:from>
    <xdr:to>
      <xdr:col>21</xdr:col>
      <xdr:colOff>26501</xdr:colOff>
      <xdr:row>34</xdr:row>
      <xdr:rowOff>265043</xdr:rowOff>
    </xdr:to>
    <xdr:sp macro="[0]!AddTrip" textlink="">
      <xdr:nvSpPr>
        <xdr:cNvPr id="8" name="Прямокутник: округлені кути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75841" y="4147930"/>
          <a:ext cx="821634" cy="69573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chemeClr val="accent4">
                  <a:lumMod val="75000"/>
                </a:schemeClr>
              </a:solidFill>
            </a:rPr>
            <a:t>Додати поїздку</a:t>
          </a:r>
          <a:br>
            <a:rPr lang="uk-UA" sz="1100" b="1" baseline="0">
              <a:solidFill>
                <a:schemeClr val="accent4">
                  <a:lumMod val="75000"/>
                </a:schemeClr>
              </a:solidFill>
            </a:rPr>
          </a:b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3" panose="05040102010807070707" pitchFamily="18" charset="2"/>
            </a:rPr>
            <a:t></a:t>
          </a:r>
          <a:r>
            <a:rPr lang="uk-UA" sz="1100" b="1" baseline="0">
              <a:solidFill>
                <a:schemeClr val="accent4">
                  <a:lumMod val="75000"/>
                </a:schemeClr>
              </a:solidFill>
              <a:sym typeface="Wingdings 2" panose="05020102010507070707" pitchFamily="18" charset="2"/>
            </a:rPr>
            <a:t></a:t>
          </a:r>
          <a:endParaRPr lang="uk-UA" sz="1100" b="1">
            <a:solidFill>
              <a:schemeClr val="accent4">
                <a:lumMod val="75000"/>
              </a:schemeClr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28</xdr:row>
      <xdr:rowOff>45720</xdr:rowOff>
    </xdr:from>
    <xdr:to>
      <xdr:col>14</xdr:col>
      <xdr:colOff>1287780</xdr:colOff>
      <xdr:row>31</xdr:row>
      <xdr:rowOff>45720</xdr:rowOff>
    </xdr:to>
    <xdr:sp macro="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970520" y="6515100"/>
          <a:ext cx="1280160" cy="548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18</xdr:row>
          <xdr:rowOff>47625</xdr:rowOff>
        </xdr:from>
        <xdr:to>
          <xdr:col>17</xdr:col>
          <xdr:colOff>581025</xdr:colOff>
          <xdr:row>20</xdr:row>
          <xdr:rowOff>142875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 w="9525">
              <a:solidFill>
                <a:srgbClr val="FFFFCC" mc:Ignorable="a14" a14:legacySpreadsheetColorIndex="26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uk-U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Приховати розрахунок оливи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13ECED-5B6B-438E-9109-418B8C48E25E}" name="auto" displayName="auto" ref="A2:M4" totalsRowShown="0" headerRowDxfId="8">
  <autoFilter ref="A2:M4" xr:uid="{BD13ECED-5B6B-438E-9109-418B8C48E25E}"/>
  <tableColumns count="13">
    <tableColumn id="1" xr3:uid="{8948636E-C772-41DF-BDCF-9E73CA906CA5}" name="назва автомобіля"/>
    <tableColumn id="2" xr3:uid="{D3FD6231-EE32-41C0-8143-277569FC4694}" name="номерний знак"/>
    <tableColumn id="3" xr3:uid="{E05D2297-443C-45B3-8446-7AF21A373918}" name="тип палива"/>
    <tableColumn id="4" xr3:uid="{5FDBE128-A00D-4F67-AAC2-34082BE90050}" name="розхід палива на 100 км"/>
    <tableColumn id="5" xr3:uid="{74A05C55-03D0-447E-9A2D-D858716D26F8}" name="тип мастила"/>
    <tableColumn id="6" xr3:uid="{DA1148CF-4DC1-48CA-BD3F-29399F8EE3D7}" name="розхід оливи"/>
    <tableColumn id="7" xr3:uid="{2DA2F55E-5D7A-48A4-A1B4-B4A5D45FBAAA}" name="група експлуатації"/>
    <tableColumn id="8" xr3:uid="{8D627DB5-9C2C-47F6-BE95-A227320D555D}" name="група експлуатації2"/>
    <tableColumn id="9" xr3:uid="{6E3C6499-123F-439B-AC89-786D4FAAF1FA}" name="Водій" dataDxfId="7"/>
    <tableColumn id="10" xr3:uid="{8463B70A-D7DA-4736-BBC9-43823DA4E376}" name="звання водія" dataDxfId="6">
      <calculatedColumnFormula>IFERROR(INDEX(Таблиця3[звання],MATCH(auto[[#This Row],[Водій]],Таблиця3[ПІБ],0)),"")</calculatedColumnFormula>
    </tableColumn>
    <tableColumn id="11" xr3:uid="{2AD5D767-7A08-46B8-9DC0-9DDF8E1653EF}" name="Підрозділ"/>
    <tableColumn id="12" xr3:uid="{BE1CE843-EBD9-476D-9609-A592CC060381}" name="Старший" dataDxfId="5"/>
    <tableColumn id="13" xr3:uid="{F3B51EA1-8CCA-45F7-9F4F-44275E5C9B49}" name="Звання старшого" dataDxfId="4">
      <calculatedColumnFormula>IFERROR(INDEX(Таблиця3[звання],MATCH(auto[[#This Row],[Старший]],Таблиця3[ПІБ],0)),"")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1F3641-D486-489D-B4D6-C3149E9CC04F}" name="Таблиця2" displayName="Таблиця2" ref="P2:Q3" totalsRowShown="0" headerRowDxfId="3">
  <autoFilter ref="P2:Q3" xr:uid="{F71F3641-D486-489D-B4D6-C3149E9CC04F}"/>
  <tableColumns count="2">
    <tableColumn id="1" xr3:uid="{EB365CEA-6800-4B58-946E-A2A6C59263D3}" name="тип дорожнього покриття"/>
    <tableColumn id="2" xr3:uid="{4C7C31EB-360A-4E95-8E03-8AC8A9247818}" name="поправка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DAC7A4-EF71-46A0-9AE4-B67A89A49334}" name="Таблиця3" displayName="Таблиця3" ref="S2:V7" totalsRowShown="0" headerRowDxfId="1">
  <autoFilter ref="S2:V7" xr:uid="{A8DAC7A4-EF71-46A0-9AE4-B67A89A49334}"/>
  <tableColumns count="4">
    <tableColumn id="1" xr3:uid="{661BE61D-F24A-4F70-AD1C-EAC32702E836}" name="посада"/>
    <tableColumn id="2" xr3:uid="{19AD12B8-4C9B-4581-8CA7-5343F4F304A2}" name="звання"/>
    <tableColumn id="4" xr3:uid="{AC3A5E24-A5AC-4D3E-9748-E2434AD44FF0}" name="звання скорочено"/>
    <tableColumn id="3" xr3:uid="{3C1ABE8C-91BC-4753-A58F-BE00982B7A32}" name="ПІ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0AE21-658A-40B4-A08A-E0750BC44515}" name="Таблиця4" displayName="Таблиця4" ref="Z2:AC4" totalsRowShown="0" headerRowDxfId="0">
  <autoFilter ref="Z2:AC4" xr:uid="{1EE0AE21-658A-40B4-A08A-E0750BC44515}"/>
  <tableColumns count="4">
    <tableColumn id="1" xr3:uid="{0179E0A5-03BF-4541-96E5-8919018598CE}" name="Звідки"/>
    <tableColumn id="2" xr3:uid="{43F1782B-0216-4250-B12E-D199EE20A903}" name="Куди"/>
    <tableColumn id="3" xr3:uid="{C2B8E4FF-8FA3-4EC3-BC8F-E2FDEA351FF5}" name="в один кінець"/>
    <tableColumn id="4" xr3:uid="{D5BD12E5-A117-4F3C-9B4F-184A47839944}" name="маршрут">
      <calculatedColumnFormula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A475-3CE3-40DD-8957-79D6B08A347D}">
  <sheetPr codeName="Аркуш2"/>
  <dimension ref="A1:AH44"/>
  <sheetViews>
    <sheetView view="pageBreakPreview" zoomScale="130" zoomScaleNormal="140" zoomScaleSheetLayoutView="130" workbookViewId="0">
      <selection activeCell="Y14" sqref="Y14"/>
    </sheetView>
  </sheetViews>
  <sheetFormatPr defaultColWidth="8.85546875" defaultRowHeight="15" x14ac:dyDescent="0.25"/>
  <cols>
    <col min="1" max="6" width="2.85546875" style="4" customWidth="1"/>
    <col min="7" max="7" width="2.42578125" style="4" customWidth="1"/>
    <col min="8" max="8" width="1.42578125" style="4" customWidth="1"/>
    <col min="9" max="9" width="10.85546875" style="4" customWidth="1"/>
    <col min="10" max="10" width="9.42578125" style="4" customWidth="1"/>
    <col min="11" max="11" width="11" style="4" customWidth="1"/>
    <col min="12" max="12" width="10" style="4" customWidth="1"/>
    <col min="13" max="13" width="10.42578125" style="4" customWidth="1"/>
    <col min="14" max="14" width="11.140625" style="4" customWidth="1"/>
    <col min="15" max="15" width="12" style="4" customWidth="1"/>
    <col min="16" max="16" width="13" style="4" customWidth="1"/>
    <col min="17" max="17" width="11.5703125" style="4" customWidth="1"/>
    <col min="18" max="18" width="14" style="4" bestFit="1" customWidth="1"/>
    <col min="19" max="19" width="8.85546875" style="4"/>
    <col min="20" max="20" width="10.140625" style="4" bestFit="1" customWidth="1"/>
    <col min="21" max="21" width="11.140625" style="4" customWidth="1"/>
    <col min="22" max="22" width="10.140625" style="4" bestFit="1" customWidth="1"/>
    <col min="23" max="23" width="8.85546875" style="4"/>
    <col min="24" max="24" width="15.140625" style="4" bestFit="1" customWidth="1"/>
    <col min="25" max="25" width="14" style="4" customWidth="1"/>
    <col min="26" max="30" width="8.85546875" style="4"/>
    <col min="31" max="31" width="33" style="4" bestFit="1" customWidth="1"/>
    <col min="32" max="32" width="16.85546875" style="4" bestFit="1" customWidth="1"/>
    <col min="33" max="33" width="1.5703125" style="4" bestFit="1" customWidth="1"/>
    <col min="34" max="16384" width="8.85546875" style="4"/>
  </cols>
  <sheetData>
    <row r="1" spans="1:34" ht="16.7" customHeight="1" x14ac:dyDescent="0.25">
      <c r="B1" s="130">
        <f>N33</f>
        <v>0</v>
      </c>
      <c r="C1" s="131" t="str">
        <f>INDEX(auto[група експлуатації2],MATCH('Ш Лист 1'!L33,auto[назва автомобіля],0))</f>
        <v>транспортна</v>
      </c>
      <c r="D1" s="128" t="str">
        <f>L5</f>
        <v>Фара К.Л.</v>
      </c>
      <c r="E1" s="114" t="str">
        <f>K6</f>
        <v>Кременець - Тернопіль</v>
      </c>
      <c r="F1" s="126" t="s">
        <v>82</v>
      </c>
      <c r="G1" s="50"/>
      <c r="H1" s="51"/>
      <c r="Q1" s="117" t="s">
        <v>84</v>
      </c>
      <c r="R1" s="117"/>
      <c r="X1" s="4" t="s">
        <v>135</v>
      </c>
    </row>
    <row r="2" spans="1:34" ht="11.45" customHeight="1" x14ac:dyDescent="0.25">
      <c r="B2" s="130"/>
      <c r="C2" s="131"/>
      <c r="D2" s="128"/>
      <c r="E2" s="114"/>
      <c r="F2" s="126"/>
      <c r="G2" s="50"/>
      <c r="H2" s="51"/>
      <c r="M2" s="4" t="s">
        <v>81</v>
      </c>
      <c r="N2" s="87">
        <v>45211</v>
      </c>
      <c r="O2" s="4" t="s">
        <v>82</v>
      </c>
      <c r="Q2" s="37" t="s">
        <v>83</v>
      </c>
      <c r="R2" s="36"/>
      <c r="X2" s="94" t="s">
        <v>165</v>
      </c>
    </row>
    <row r="3" spans="1:34" ht="12" customHeight="1" x14ac:dyDescent="0.25">
      <c r="B3" s="130"/>
      <c r="C3" s="131"/>
      <c r="D3" s="128"/>
      <c r="E3" s="114"/>
      <c r="F3" s="126"/>
      <c r="G3" s="50"/>
      <c r="H3" s="51"/>
      <c r="M3" s="35" t="s">
        <v>80</v>
      </c>
      <c r="O3" s="88">
        <v>35</v>
      </c>
    </row>
    <row r="4" spans="1:34" ht="14.45" customHeight="1" x14ac:dyDescent="0.25">
      <c r="B4" s="130"/>
      <c r="C4" s="131"/>
      <c r="D4" s="128"/>
      <c r="E4" s="114"/>
      <c r="F4" s="125">
        <f>J33</f>
        <v>45201</v>
      </c>
      <c r="G4" s="50"/>
      <c r="H4" s="51"/>
      <c r="I4" s="33" t="s">
        <v>78</v>
      </c>
      <c r="L4" s="99" t="str">
        <f>INDEX(auto[Підрозділ],MATCH('Ш Лист 1'!L33,auto[назва автомобіля],0))</f>
        <v>А0000 (ПВЗ)</v>
      </c>
      <c r="M4" s="28"/>
      <c r="N4" s="28"/>
      <c r="O4" s="28"/>
      <c r="P4" s="28"/>
      <c r="Q4" s="28"/>
      <c r="R4" s="28"/>
      <c r="S4" s="4" t="s">
        <v>89</v>
      </c>
      <c r="U4" s="70">
        <v>45201</v>
      </c>
    </row>
    <row r="5" spans="1:34" ht="13.35" customHeight="1" x14ac:dyDescent="0.25">
      <c r="B5" s="113" t="s">
        <v>96</v>
      </c>
      <c r="C5" s="131"/>
      <c r="D5" s="128"/>
      <c r="E5" s="114"/>
      <c r="F5" s="125"/>
      <c r="G5" s="50"/>
      <c r="H5" s="51"/>
      <c r="I5" s="33" t="s">
        <v>0</v>
      </c>
      <c r="J5" s="29" t="str">
        <f>IFERROR(INDEX(Таблиця3[звання],MATCH('Ш Лист 1'!L5,Таблиця3[ПІБ],0)),"")</f>
        <v>солдат</v>
      </c>
      <c r="K5" s="28"/>
      <c r="L5" s="98" t="str">
        <f>INDEX(auto[Водій],MATCH('Ш Лист 1'!L33,auto[назва автомобіля],0))</f>
        <v>Фара К.Л.</v>
      </c>
      <c r="M5" s="28"/>
      <c r="O5" s="34" t="s">
        <v>1</v>
      </c>
      <c r="P5" s="29" t="str">
        <f>IFERROR(INDEX(Таблиця3[звання],MATCH('Ш Лист 1'!R5,Таблиця3[ПІБ],0)),"")</f>
        <v>капітан</v>
      </c>
      <c r="Q5" s="28"/>
      <c r="R5" s="98" t="str">
        <f>INDEX(auto[Старший],MATCH('Ш Лист 1'!L33,auto[назва автомобіля],0))</f>
        <v>Майбах М.Б.</v>
      </c>
      <c r="S5" s="4" t="s">
        <v>3</v>
      </c>
      <c r="U5" s="71" t="s">
        <v>40</v>
      </c>
    </row>
    <row r="6" spans="1:34" ht="13.7" customHeight="1" thickBot="1" x14ac:dyDescent="0.3">
      <c r="B6" s="113"/>
      <c r="C6" s="131"/>
      <c r="D6" s="128"/>
      <c r="E6" s="114"/>
      <c r="F6" s="125"/>
      <c r="G6" s="50"/>
      <c r="H6" s="51"/>
      <c r="I6" s="32" t="s">
        <v>77</v>
      </c>
      <c r="K6" s="115" t="s">
        <v>149</v>
      </c>
      <c r="L6" s="115"/>
      <c r="M6" s="115"/>
      <c r="N6" s="115"/>
      <c r="O6" s="115"/>
      <c r="P6" s="115"/>
      <c r="Q6" s="115"/>
      <c r="R6" s="115"/>
      <c r="S6" s="4" t="s">
        <v>68</v>
      </c>
      <c r="U6" s="103" t="s">
        <v>42</v>
      </c>
    </row>
    <row r="7" spans="1:34" ht="15.75" x14ac:dyDescent="0.25">
      <c r="B7" s="113"/>
      <c r="C7" s="131"/>
      <c r="D7" s="128"/>
      <c r="E7" s="114"/>
      <c r="F7" s="125"/>
      <c r="G7" s="50"/>
      <c r="H7" s="51"/>
      <c r="I7" s="30" t="str">
        <f>IFERROR(INDEX(Таблиця3[посада],MATCH('Ш Лист 1'!R7,Таблиця3[ПІБ],0)),"")&amp;", "&amp;IFERROR(INDEX(Таблиця3[звання],MATCH('Ш Лист 1'!R7,Таблиця3[ПІБ],0)),"")</f>
        <v>Начальник автомобільної служби, капітан</v>
      </c>
      <c r="J7" s="31"/>
      <c r="K7" s="31"/>
      <c r="L7" s="31"/>
      <c r="M7" s="31"/>
      <c r="N7" s="31"/>
      <c r="O7" s="31"/>
      <c r="P7" s="31"/>
      <c r="Q7" s="31"/>
      <c r="R7" s="89" t="s">
        <v>40</v>
      </c>
      <c r="T7" s="104" t="s">
        <v>4</v>
      </c>
      <c r="U7" s="105"/>
      <c r="V7" s="104" t="s">
        <v>6</v>
      </c>
      <c r="W7" s="105"/>
      <c r="AE7" s="4" t="s">
        <v>161</v>
      </c>
      <c r="AF7" s="4" t="s">
        <v>151</v>
      </c>
      <c r="AG7" s="4" t="s">
        <v>162</v>
      </c>
      <c r="AH7" s="4" t="s">
        <v>163</v>
      </c>
    </row>
    <row r="8" spans="1:34" ht="10.35" customHeight="1" x14ac:dyDescent="0.25">
      <c r="B8" s="113"/>
      <c r="C8" s="131"/>
      <c r="D8" s="128"/>
      <c r="E8" s="114"/>
      <c r="F8" s="47"/>
      <c r="G8" s="116" t="s">
        <v>104</v>
      </c>
      <c r="H8" s="52"/>
      <c r="I8" s="25" t="s">
        <v>74</v>
      </c>
      <c r="J8" s="26" t="s">
        <v>75</v>
      </c>
      <c r="K8" s="27"/>
      <c r="L8" s="27"/>
      <c r="M8" s="27"/>
      <c r="N8" s="27"/>
      <c r="O8" s="27"/>
      <c r="P8" s="27"/>
      <c r="Q8" s="27"/>
      <c r="R8" s="27"/>
      <c r="T8" s="106"/>
      <c r="U8" s="107"/>
      <c r="V8" s="106"/>
      <c r="W8" s="107"/>
      <c r="AE8" s="4" t="s">
        <v>161</v>
      </c>
      <c r="AF8" s="4" t="s">
        <v>152</v>
      </c>
      <c r="AG8" s="4" t="s">
        <v>162</v>
      </c>
      <c r="AH8" s="4" t="s">
        <v>163</v>
      </c>
    </row>
    <row r="9" spans="1:34" ht="9" customHeight="1" x14ac:dyDescent="0.25">
      <c r="A9" s="45"/>
      <c r="B9" s="113"/>
      <c r="D9" s="128"/>
      <c r="E9" s="114"/>
      <c r="F9" s="127" t="s">
        <v>40</v>
      </c>
      <c r="G9" s="116"/>
      <c r="H9" s="51"/>
      <c r="I9" s="122" t="s">
        <v>60</v>
      </c>
      <c r="J9" s="123"/>
      <c r="K9" s="124"/>
      <c r="L9" s="122" t="s">
        <v>61</v>
      </c>
      <c r="M9" s="123"/>
      <c r="N9" s="124"/>
      <c r="O9" s="118" t="s">
        <v>4</v>
      </c>
      <c r="P9" s="118"/>
      <c r="Q9" s="118" t="s">
        <v>6</v>
      </c>
      <c r="R9" s="118"/>
      <c r="T9" s="111" t="s">
        <v>64</v>
      </c>
      <c r="U9" s="110" t="s">
        <v>65</v>
      </c>
      <c r="V9" s="110" t="s">
        <v>64</v>
      </c>
      <c r="W9" s="112" t="s">
        <v>65</v>
      </c>
      <c r="AE9" s="4" t="s">
        <v>161</v>
      </c>
      <c r="AF9" s="4" t="s">
        <v>153</v>
      </c>
      <c r="AG9" s="4" t="s">
        <v>162</v>
      </c>
      <c r="AH9" s="4" t="s">
        <v>163</v>
      </c>
    </row>
    <row r="10" spans="1:34" ht="10.7" customHeight="1" x14ac:dyDescent="0.25">
      <c r="A10" s="45"/>
      <c r="B10" s="113"/>
      <c r="C10" s="113" t="s">
        <v>99</v>
      </c>
      <c r="D10" s="128"/>
      <c r="E10" s="114"/>
      <c r="F10" s="127"/>
      <c r="G10" s="116"/>
      <c r="H10" s="51"/>
      <c r="I10" s="138" t="s">
        <v>2</v>
      </c>
      <c r="J10" s="139"/>
      <c r="K10" s="140"/>
      <c r="L10" s="133" t="s">
        <v>62</v>
      </c>
      <c r="M10" s="134"/>
      <c r="N10" s="135"/>
      <c r="O10" s="22" t="s">
        <v>5</v>
      </c>
      <c r="P10" s="23" t="str">
        <f>IF(T10,TEXT(U10,"ч:мм")&amp;" "&amp;TEXT(T10,"дд.мм.гггг"),"")</f>
        <v>0:00 02.00.2023</v>
      </c>
      <c r="Q10" s="22" t="s">
        <v>5</v>
      </c>
      <c r="R10" s="24" t="str">
        <f>IF(V10,TEXT(W10,"ч:мм")&amp;" "&amp;TEXT(V10,"дд.мм.гггг"),"")</f>
        <v>0:00 12.00.2023</v>
      </c>
      <c r="T10" s="108">
        <v>45201</v>
      </c>
      <c r="U10" s="109"/>
      <c r="V10" s="108">
        <v>45211</v>
      </c>
      <c r="W10" s="109"/>
      <c r="Y10" s="4">
        <v>45198</v>
      </c>
      <c r="Z10" s="4">
        <v>0.2638888888888889</v>
      </c>
      <c r="AA10" s="4">
        <v>45199</v>
      </c>
      <c r="AB10" s="4">
        <v>0.79166666666666663</v>
      </c>
      <c r="AE10" s="4" t="s">
        <v>161</v>
      </c>
      <c r="AF10" s="4" t="s">
        <v>154</v>
      </c>
      <c r="AG10" s="4" t="s">
        <v>162</v>
      </c>
      <c r="AH10" s="4" t="s">
        <v>163</v>
      </c>
    </row>
    <row r="11" spans="1:34" ht="11.45" customHeight="1" x14ac:dyDescent="0.25">
      <c r="B11" s="113"/>
      <c r="C11" s="113"/>
      <c r="D11" s="128"/>
      <c r="E11" s="114"/>
      <c r="F11" s="127"/>
      <c r="G11" s="116"/>
      <c r="H11" s="51"/>
      <c r="I11" s="138"/>
      <c r="J11" s="139"/>
      <c r="K11" s="140"/>
      <c r="L11" s="133" t="s">
        <v>3</v>
      </c>
      <c r="M11" s="134"/>
      <c r="N11" s="135"/>
      <c r="O11" s="119" t="s">
        <v>59</v>
      </c>
      <c r="P11" s="119"/>
      <c r="Q11" s="119" t="s">
        <v>59</v>
      </c>
      <c r="R11" s="119"/>
      <c r="S11" s="4" t="s">
        <v>63</v>
      </c>
      <c r="T11" s="72"/>
      <c r="U11" s="73"/>
      <c r="V11" s="72"/>
      <c r="W11" s="73"/>
      <c r="AE11" s="4" t="s">
        <v>161</v>
      </c>
      <c r="AF11" s="4" t="s">
        <v>155</v>
      </c>
      <c r="AG11" s="4" t="s">
        <v>162</v>
      </c>
      <c r="AH11" s="4" t="s">
        <v>163</v>
      </c>
    </row>
    <row r="12" spans="1:34" ht="9.6" customHeight="1" x14ac:dyDescent="0.25">
      <c r="A12" s="137">
        <f>O3</f>
        <v>35</v>
      </c>
      <c r="B12" s="131" t="str">
        <f>M33</f>
        <v>ВВ4535ОО</v>
      </c>
      <c r="C12" s="113"/>
      <c r="D12" s="128"/>
      <c r="E12" s="114"/>
      <c r="F12" s="127"/>
      <c r="G12" s="116"/>
      <c r="H12" s="51"/>
      <c r="I12" s="7" t="str">
        <f>IFERROR(INDEX(Таблиця3[звання скорочено],MATCH('Ш Лист 1'!J12,Таблиця3[ПІБ],0)),"")</f>
        <v>к-н</v>
      </c>
      <c r="J12" s="17" t="str">
        <f>IF(T12,$U$5,"")</f>
        <v>Майбах М.Б.</v>
      </c>
      <c r="K12" s="8">
        <f>IF(T12,T12,"")</f>
        <v>45198</v>
      </c>
      <c r="L12" s="7" t="str">
        <f>IFERROR(INDEX(Таблиця3[звання скорочено],MATCH('Ш Лист 1'!M12,Таблиця3[ПІБ],0)),"")</f>
        <v>солд</v>
      </c>
      <c r="M12" s="17" t="str">
        <f>IF(T12,$U$6,"")</f>
        <v>Руль В.М.</v>
      </c>
      <c r="N12" s="8">
        <f>IF(T12,T12,"")</f>
        <v>45198</v>
      </c>
      <c r="O12" s="9" t="str">
        <f>IF(T12,TEXT(U12,"ч:мм")&amp;" "&amp;TEXT(T12,"дд.мм.гггг"),"")</f>
        <v>7:30 29.00.2023</v>
      </c>
      <c r="P12" s="86">
        <v>123777</v>
      </c>
      <c r="Q12" s="9" t="str">
        <f>IF(T12,TEXT(W12,"ч:мм")&amp;" "&amp;TEXT(V12,"дд.мм.гггг"),"")</f>
        <v>18:10 29.00.2023</v>
      </c>
      <c r="R12" s="86">
        <v>123888</v>
      </c>
      <c r="S12" s="10">
        <v>1</v>
      </c>
      <c r="T12" s="74">
        <v>45198</v>
      </c>
      <c r="U12" s="75">
        <v>0.3125</v>
      </c>
      <c r="V12" s="74">
        <v>45198</v>
      </c>
      <c r="W12" s="75">
        <v>0.75694444444444453</v>
      </c>
      <c r="Y12" s="4">
        <v>45150</v>
      </c>
      <c r="Z12" s="4">
        <v>0.72916666666666663</v>
      </c>
      <c r="AA12" s="4">
        <v>45151</v>
      </c>
      <c r="AB12" s="4">
        <v>0.29166666666666669</v>
      </c>
      <c r="AE12" s="4" t="s">
        <v>161</v>
      </c>
      <c r="AF12" s="4" t="s">
        <v>156</v>
      </c>
      <c r="AG12" s="4" t="s">
        <v>162</v>
      </c>
      <c r="AH12" s="4" t="s">
        <v>163</v>
      </c>
    </row>
    <row r="13" spans="1:34" ht="6" customHeight="1" x14ac:dyDescent="0.25">
      <c r="A13" s="137"/>
      <c r="B13" s="131"/>
      <c r="C13" s="113"/>
      <c r="D13" s="128"/>
      <c r="E13" s="114"/>
      <c r="F13" s="127"/>
      <c r="G13" s="116"/>
      <c r="H13" s="51"/>
      <c r="I13" s="5"/>
      <c r="J13" s="3" t="s">
        <v>67</v>
      </c>
      <c r="K13" s="6"/>
      <c r="L13" s="5"/>
      <c r="M13" s="3" t="s">
        <v>67</v>
      </c>
      <c r="N13" s="6"/>
      <c r="O13" s="2" t="s">
        <v>66</v>
      </c>
      <c r="P13" s="20"/>
      <c r="Q13" s="2" t="s">
        <v>66</v>
      </c>
      <c r="R13" s="11"/>
      <c r="T13" s="76"/>
      <c r="U13" s="77"/>
      <c r="V13" s="78"/>
      <c r="W13" s="77"/>
      <c r="AE13" s="4" t="s">
        <v>161</v>
      </c>
      <c r="AF13" s="4" t="s">
        <v>157</v>
      </c>
      <c r="AG13" s="4" t="s">
        <v>162</v>
      </c>
      <c r="AH13" s="4" t="s">
        <v>163</v>
      </c>
    </row>
    <row r="14" spans="1:34" ht="9.6" customHeight="1" x14ac:dyDescent="0.25">
      <c r="A14" s="137"/>
      <c r="B14" s="131"/>
      <c r="C14" s="113"/>
      <c r="D14" s="128"/>
      <c r="E14" s="114"/>
      <c r="F14" s="127"/>
      <c r="G14" s="116"/>
      <c r="H14" s="51"/>
      <c r="I14" s="12" t="str">
        <f>IFERROR(INDEX(Таблиця3[звання скорочено],MATCH('Ш Лист 1'!J14,Таблиця3[ПІБ],0)),"")</f>
        <v>к-н</v>
      </c>
      <c r="J14" s="21" t="str">
        <f>IF(T14,$U$5,"")</f>
        <v>Майбах М.Б.</v>
      </c>
      <c r="K14" s="15">
        <f>IF(T14,T14,"")</f>
        <v>45199</v>
      </c>
      <c r="L14" s="12" t="str">
        <f>IFERROR(INDEX(Таблиця3[звання скорочено],MATCH('Ш Лист 1'!M14,Таблиця3[ПІБ],0)),"")</f>
        <v>солд</v>
      </c>
      <c r="M14" s="21" t="str">
        <f>IF(T14,$U$6,"")</f>
        <v>Руль В.М.</v>
      </c>
      <c r="N14" s="15">
        <f>IF(T14,T14,"")</f>
        <v>45199</v>
      </c>
      <c r="O14" s="13" t="str">
        <f>IF(T14,TEXT(U14,"ч:мм")&amp;" "&amp;TEXT(T14,"дд.мм.гггг"),"")</f>
        <v>7:50 30.00.2023</v>
      </c>
      <c r="P14" s="16">
        <f>IF(T14,R12,"")</f>
        <v>123888</v>
      </c>
      <c r="Q14" s="13" t="str">
        <f>IF(T14,TEXT(W14,"ч:мм")&amp;" "&amp;TEXT(V14,"дд.мм.гггг"),"")</f>
        <v>19:00 30.00.2023</v>
      </c>
      <c r="R14" s="86">
        <v>123889</v>
      </c>
      <c r="S14" s="14">
        <v>2</v>
      </c>
      <c r="T14" s="74">
        <v>45199</v>
      </c>
      <c r="U14" s="75">
        <v>0.3263888888888889</v>
      </c>
      <c r="V14" s="74">
        <v>45199</v>
      </c>
      <c r="W14" s="75">
        <v>0.79166666666666663</v>
      </c>
      <c r="Y14" s="4">
        <v>45150</v>
      </c>
      <c r="Z14" s="4">
        <v>0.72916666666666663</v>
      </c>
      <c r="AA14" s="4">
        <v>45151</v>
      </c>
      <c r="AB14" s="4">
        <v>0.29166666666666669</v>
      </c>
      <c r="AE14" s="4" t="s">
        <v>161</v>
      </c>
      <c r="AF14" s="4" t="s">
        <v>158</v>
      </c>
      <c r="AG14" s="4" t="s">
        <v>162</v>
      </c>
      <c r="AH14" s="4" t="s">
        <v>163</v>
      </c>
    </row>
    <row r="15" spans="1:34" ht="6" customHeight="1" x14ac:dyDescent="0.25">
      <c r="A15" s="137"/>
      <c r="B15" s="131"/>
      <c r="C15" s="113"/>
      <c r="D15" s="128"/>
      <c r="E15" s="114"/>
      <c r="F15" s="127"/>
      <c r="G15" s="116"/>
      <c r="H15" s="51"/>
      <c r="I15" s="5"/>
      <c r="J15" s="3" t="s">
        <v>67</v>
      </c>
      <c r="K15" s="6"/>
      <c r="L15" s="5"/>
      <c r="M15" s="3" t="s">
        <v>67</v>
      </c>
      <c r="N15" s="6"/>
      <c r="O15" s="2" t="s">
        <v>66</v>
      </c>
      <c r="P15" s="20"/>
      <c r="Q15" s="2" t="s">
        <v>66</v>
      </c>
      <c r="R15" s="11"/>
      <c r="S15" s="14"/>
      <c r="T15" s="76"/>
      <c r="U15" s="77"/>
      <c r="V15" s="78"/>
      <c r="W15" s="77"/>
      <c r="AE15" s="4" t="s">
        <v>161</v>
      </c>
      <c r="AF15" s="4" t="s">
        <v>159</v>
      </c>
      <c r="AG15" s="4" t="s">
        <v>162</v>
      </c>
      <c r="AH15" s="4" t="s">
        <v>163</v>
      </c>
    </row>
    <row r="16" spans="1:34" ht="9.6" customHeight="1" x14ac:dyDescent="0.25">
      <c r="A16" s="137"/>
      <c r="B16" s="131"/>
      <c r="C16" s="113"/>
      <c r="D16" s="128"/>
      <c r="E16" s="114"/>
      <c r="F16" s="127"/>
      <c r="G16" s="116"/>
      <c r="H16" s="51"/>
      <c r="I16" s="12" t="str">
        <f>IFERROR(INDEX(Таблиця3[звання скорочено],MATCH('Ш Лист 1'!J16,Таблиця3[ПІБ],0)),"")</f>
        <v>к-н</v>
      </c>
      <c r="J16" s="21" t="str">
        <f>IF(T16,$U$5,"")</f>
        <v>Майбах М.Б.</v>
      </c>
      <c r="K16" s="15">
        <f>IF(T16,T16,"")</f>
        <v>45198</v>
      </c>
      <c r="L16" s="12" t="str">
        <f>IFERROR(INDEX(Таблиця3[звання скорочено],MATCH('Ш Лист 1'!M16,Таблиця3[ПІБ],0)),"")</f>
        <v>солд</v>
      </c>
      <c r="M16" s="21" t="str">
        <f>IF(T16,$U$6,"")</f>
        <v>Руль В.М.</v>
      </c>
      <c r="N16" s="15">
        <f>IF(T16,T16,"")</f>
        <v>45198</v>
      </c>
      <c r="O16" s="13" t="str">
        <f>IF(T16,TEXT(U16,"ч:мм")&amp;" "&amp;TEXT(T16,"дд.мм.гггг"),"")</f>
        <v>8:52 29.00.2023</v>
      </c>
      <c r="P16" s="16">
        <f>IF(T16,R14,"")</f>
        <v>123889</v>
      </c>
      <c r="Q16" s="13" t="str">
        <f>IF(T16,TEXT(W16,"ч:мм")&amp;" "&amp;TEXT(V16,"дд.мм.гггг"),"")</f>
        <v>17:20 29.00.2023</v>
      </c>
      <c r="R16" s="86">
        <v>123890</v>
      </c>
      <c r="S16" s="14">
        <v>3</v>
      </c>
      <c r="T16" s="74">
        <v>45198</v>
      </c>
      <c r="U16" s="75">
        <v>0.36944444444444446</v>
      </c>
      <c r="V16" s="74">
        <v>45198</v>
      </c>
      <c r="W16" s="75">
        <v>0.72222222222222221</v>
      </c>
      <c r="Y16" s="4">
        <v>45150</v>
      </c>
      <c r="Z16" s="4">
        <v>0.72916666666666663</v>
      </c>
      <c r="AA16" s="4">
        <v>45151</v>
      </c>
      <c r="AB16" s="4">
        <v>0.29166666666666669</v>
      </c>
      <c r="AE16" s="4" t="s">
        <v>161</v>
      </c>
      <c r="AF16" s="4" t="s">
        <v>160</v>
      </c>
      <c r="AG16" s="4" t="s">
        <v>162</v>
      </c>
      <c r="AH16" s="4" t="s">
        <v>163</v>
      </c>
    </row>
    <row r="17" spans="1:28" ht="6" customHeight="1" x14ac:dyDescent="0.25">
      <c r="A17" s="137"/>
      <c r="B17" s="131"/>
      <c r="C17" s="113"/>
      <c r="D17" s="128"/>
      <c r="E17" s="114"/>
      <c r="F17" s="127"/>
      <c r="G17" s="116"/>
      <c r="H17" s="51"/>
      <c r="I17" s="5"/>
      <c r="J17" s="3" t="s">
        <v>67</v>
      </c>
      <c r="K17" s="19"/>
      <c r="L17" s="5"/>
      <c r="M17" s="3" t="s">
        <v>67</v>
      </c>
      <c r="N17" s="19"/>
      <c r="O17" s="2" t="s">
        <v>66</v>
      </c>
      <c r="P17" s="20"/>
      <c r="Q17" s="2" t="s">
        <v>66</v>
      </c>
      <c r="R17" s="11"/>
      <c r="S17" s="14"/>
      <c r="T17" s="76"/>
      <c r="U17" s="77"/>
      <c r="V17" s="78"/>
      <c r="W17" s="77"/>
    </row>
    <row r="18" spans="1:28" ht="9.6" customHeight="1" x14ac:dyDescent="0.25">
      <c r="A18" s="136" t="s">
        <v>91</v>
      </c>
      <c r="B18" s="131"/>
      <c r="C18" s="113"/>
      <c r="D18" s="128"/>
      <c r="E18" s="114"/>
      <c r="F18" s="127"/>
      <c r="G18" s="116"/>
      <c r="H18" s="51"/>
      <c r="I18" s="12" t="str">
        <f>IFERROR(INDEX(Таблиця3[звання скорочено],MATCH('Ш Лист 1'!J18,Таблиця3[ПІБ],0)),"")</f>
        <v>к-н</v>
      </c>
      <c r="J18" s="21" t="str">
        <f>IF(T18,$U$5,"")</f>
        <v>Майбах М.Б.</v>
      </c>
      <c r="K18" s="15">
        <f>IF(T18,T18,"")</f>
        <v>45198</v>
      </c>
      <c r="L18" s="12" t="str">
        <f>IFERROR(INDEX(Таблиця3[звання скорочено],MATCH('Ш Лист 1'!M18,Таблиця3[ПІБ],0)),"")</f>
        <v>солд</v>
      </c>
      <c r="M18" s="21" t="str">
        <f>IF(T18,$U$6,"")</f>
        <v>Руль В.М.</v>
      </c>
      <c r="N18" s="15">
        <f>IF(T18,T18,"")</f>
        <v>45198</v>
      </c>
      <c r="O18" s="13" t="str">
        <f>IF(T18,TEXT(U18,"ч:мм")&amp;" "&amp;TEXT(T18,"дд.мм.гггг"),"")</f>
        <v>6:20 29.00.2023</v>
      </c>
      <c r="P18" s="16">
        <f>IF(T18,R16,"")</f>
        <v>123890</v>
      </c>
      <c r="Q18" s="13" t="str">
        <f>IF(T18,TEXT(W18,"ч:мм")&amp;" "&amp;TEXT(V18,"дд.мм.гггг"),"")</f>
        <v>17:20 29.00.2023</v>
      </c>
      <c r="R18" s="86">
        <v>123891</v>
      </c>
      <c r="S18" s="14">
        <v>4</v>
      </c>
      <c r="T18" s="74">
        <v>45198</v>
      </c>
      <c r="U18" s="75">
        <v>0.2638888888888889</v>
      </c>
      <c r="V18" s="74">
        <v>45198</v>
      </c>
      <c r="W18" s="75">
        <v>0.72222222222222221</v>
      </c>
      <c r="Y18" s="4">
        <v>45150</v>
      </c>
      <c r="Z18" s="4">
        <v>0.72916666666666663</v>
      </c>
      <c r="AA18" s="4">
        <v>45151</v>
      </c>
      <c r="AB18" s="4">
        <v>0.29166666666666669</v>
      </c>
    </row>
    <row r="19" spans="1:28" ht="6" customHeight="1" x14ac:dyDescent="0.25">
      <c r="A19" s="136"/>
      <c r="B19" s="131"/>
      <c r="C19" s="113"/>
      <c r="D19" s="128"/>
      <c r="E19" s="114"/>
      <c r="F19" s="127"/>
      <c r="G19" s="116"/>
      <c r="H19" s="51"/>
      <c r="I19" s="5"/>
      <c r="J19" s="3" t="s">
        <v>67</v>
      </c>
      <c r="K19" s="19"/>
      <c r="L19" s="5"/>
      <c r="M19" s="3" t="s">
        <v>67</v>
      </c>
      <c r="N19" s="19"/>
      <c r="O19" s="2" t="s">
        <v>66</v>
      </c>
      <c r="P19" s="20"/>
      <c r="Q19" s="2" t="s">
        <v>66</v>
      </c>
      <c r="R19" s="11"/>
      <c r="S19" s="14"/>
      <c r="T19" s="76"/>
      <c r="U19" s="77"/>
      <c r="V19" s="78"/>
      <c r="W19" s="77"/>
    </row>
    <row r="20" spans="1:28" ht="9.6" customHeight="1" x14ac:dyDescent="0.25">
      <c r="A20" s="136"/>
      <c r="B20" s="113" t="s">
        <v>95</v>
      </c>
      <c r="C20" s="113"/>
      <c r="D20" s="128"/>
      <c r="E20" s="114"/>
      <c r="F20" s="127"/>
      <c r="G20" s="116"/>
      <c r="H20" s="51"/>
      <c r="I20" s="12" t="str">
        <f>IFERROR(INDEX(Таблиця3[звання скорочено],MATCH('Ш Лист 1'!J20,Таблиця3[ПІБ],0)),"")</f>
        <v>к-н</v>
      </c>
      <c r="J20" s="21" t="str">
        <f>IF(T20,$U$5,"")</f>
        <v>Майбах М.Б.</v>
      </c>
      <c r="K20" s="15">
        <f>IF(T20,T20,"")</f>
        <v>45198</v>
      </c>
      <c r="L20" s="12" t="str">
        <f>IFERROR(INDEX(Таблиця3[звання скорочено],MATCH('Ш Лист 1'!M20,Таблиця3[ПІБ],0)),"")</f>
        <v>солд</v>
      </c>
      <c r="M20" s="21" t="str">
        <f>IF(T20,$U$6,"")</f>
        <v>Руль В.М.</v>
      </c>
      <c r="N20" s="15">
        <f>IF(T20,T20,"")</f>
        <v>45198</v>
      </c>
      <c r="O20" s="13" t="str">
        <f>IF(T20,TEXT(U20,"ч:мм")&amp;" "&amp;TEXT(T20,"дд.мм.гггг"),"")</f>
        <v>5:50 29.00.2023</v>
      </c>
      <c r="P20" s="16">
        <f>IF(T20,R18,"")</f>
        <v>123891</v>
      </c>
      <c r="Q20" s="13" t="str">
        <f>IF(T20,TEXT(W20,"ч:мм")&amp;" "&amp;TEXT(V20,"дд.мм.гггг"),"")</f>
        <v>17:12 29.00.2023</v>
      </c>
      <c r="R20" s="86">
        <v>123892</v>
      </c>
      <c r="S20" s="14">
        <v>5</v>
      </c>
      <c r="T20" s="74">
        <v>45198</v>
      </c>
      <c r="U20" s="75">
        <v>0.24305555555555555</v>
      </c>
      <c r="V20" s="74">
        <v>45198</v>
      </c>
      <c r="W20" s="75">
        <v>0.71666666666666667</v>
      </c>
      <c r="Y20" s="4">
        <v>45150</v>
      </c>
      <c r="Z20" s="4">
        <v>0.72916666666666663</v>
      </c>
      <c r="AA20" s="4">
        <v>45151</v>
      </c>
      <c r="AB20" s="4">
        <v>0.29166666666666669</v>
      </c>
    </row>
    <row r="21" spans="1:28" ht="6" customHeight="1" x14ac:dyDescent="0.25">
      <c r="A21" s="136"/>
      <c r="B21" s="113"/>
      <c r="C21" s="47"/>
      <c r="D21" s="128"/>
      <c r="E21" s="114"/>
      <c r="F21" s="127"/>
      <c r="G21" s="116"/>
      <c r="H21" s="51"/>
      <c r="I21" s="5"/>
      <c r="J21" s="3" t="s">
        <v>67</v>
      </c>
      <c r="K21" s="19"/>
      <c r="L21" s="5"/>
      <c r="M21" s="3" t="s">
        <v>67</v>
      </c>
      <c r="N21" s="19"/>
      <c r="O21" s="2" t="s">
        <v>66</v>
      </c>
      <c r="P21" s="20"/>
      <c r="Q21" s="2" t="s">
        <v>66</v>
      </c>
      <c r="R21" s="11"/>
      <c r="S21" s="14"/>
      <c r="T21" s="76"/>
      <c r="U21" s="77"/>
      <c r="V21" s="78"/>
      <c r="W21" s="77"/>
    </row>
    <row r="22" spans="1:28" ht="9.6" customHeight="1" x14ac:dyDescent="0.25">
      <c r="A22" s="136"/>
      <c r="B22" s="113"/>
      <c r="C22" s="47"/>
      <c r="D22" s="128"/>
      <c r="E22" s="114"/>
      <c r="F22" s="127"/>
      <c r="G22" s="116"/>
      <c r="H22" s="51"/>
      <c r="I22" s="12" t="str">
        <f>IFERROR(INDEX(Таблиця3[звання скорочено],MATCH('Ш Лист 1'!J22,Таблиця3[ПІБ],0)),"")</f>
        <v>к-н</v>
      </c>
      <c r="J22" s="21" t="str">
        <f>IF(T22,$U$5,"")</f>
        <v>Майбах М.Б.</v>
      </c>
      <c r="K22" s="15">
        <f>IF(T22,T22,"")</f>
        <v>45198</v>
      </c>
      <c r="L22" s="12" t="str">
        <f>IFERROR(INDEX(Таблиця3[звання скорочено],MATCH('Ш Лист 1'!M22,Таблиця3[ПІБ],0)),"")</f>
        <v>солд</v>
      </c>
      <c r="M22" s="21" t="str">
        <f>IF(T22,$U$6,"")</f>
        <v>Руль В.М.</v>
      </c>
      <c r="N22" s="15">
        <f>IF(T22,T22,"")</f>
        <v>45198</v>
      </c>
      <c r="O22" s="13" t="str">
        <f>IF(T22,TEXT(U22,"ч:мм")&amp;" "&amp;TEXT(T22,"дд.мм.гггг"),"")</f>
        <v>7:20 29.00.2023</v>
      </c>
      <c r="P22" s="16">
        <f>IF(T22,R20,"")</f>
        <v>123892</v>
      </c>
      <c r="Q22" s="13" t="str">
        <f>IF(T22,TEXT(W22,"ч:мм")&amp;" "&amp;TEXT(V22,"дд.мм.гггг"),"")</f>
        <v>15:50 29.00.2023</v>
      </c>
      <c r="R22" s="86">
        <v>123893</v>
      </c>
      <c r="S22" s="14">
        <v>6</v>
      </c>
      <c r="T22" s="74">
        <v>45198</v>
      </c>
      <c r="U22" s="75">
        <v>0.30555555555555552</v>
      </c>
      <c r="V22" s="74">
        <v>45198</v>
      </c>
      <c r="W22" s="75">
        <v>0.65972222222222221</v>
      </c>
      <c r="Y22" s="4">
        <v>45150</v>
      </c>
      <c r="Z22" s="4">
        <v>0.72916666666666663</v>
      </c>
      <c r="AA22" s="4">
        <v>45151</v>
      </c>
      <c r="AB22" s="4">
        <v>0.29166666666666669</v>
      </c>
    </row>
    <row r="23" spans="1:28" ht="6" customHeight="1" x14ac:dyDescent="0.25">
      <c r="A23" s="136"/>
      <c r="B23" s="113"/>
      <c r="C23" s="47"/>
      <c r="D23" s="128"/>
      <c r="E23" s="114"/>
      <c r="F23" s="127"/>
      <c r="G23" s="116"/>
      <c r="H23" s="51"/>
      <c r="I23" s="5"/>
      <c r="J23" s="3" t="s">
        <v>67</v>
      </c>
      <c r="K23" s="19"/>
      <c r="L23" s="5"/>
      <c r="M23" s="3" t="s">
        <v>67</v>
      </c>
      <c r="N23" s="19"/>
      <c r="O23" s="2" t="s">
        <v>66</v>
      </c>
      <c r="P23" s="20"/>
      <c r="Q23" s="2" t="s">
        <v>66</v>
      </c>
      <c r="R23" s="11"/>
      <c r="S23" s="14"/>
      <c r="T23" s="76"/>
      <c r="U23" s="77"/>
      <c r="V23" s="78"/>
      <c r="W23" s="77"/>
    </row>
    <row r="24" spans="1:28" ht="10.35" customHeight="1" x14ac:dyDescent="0.25">
      <c r="A24" s="136"/>
      <c r="B24" s="113"/>
      <c r="C24" s="47"/>
      <c r="D24" s="128"/>
      <c r="E24" s="114"/>
      <c r="F24" s="127"/>
      <c r="G24" s="116"/>
      <c r="H24" s="51"/>
      <c r="I24" s="12" t="str">
        <f>IFERROR(INDEX(Таблиця3[звання скорочено],MATCH('Ш Лист 1'!J24,Таблиця3[ПІБ],0)),"")</f>
        <v>к-н</v>
      </c>
      <c r="J24" s="21" t="str">
        <f>IF(T24,$U$5,"")</f>
        <v>Майбах М.Б.</v>
      </c>
      <c r="K24" s="15">
        <f>IF(T24,T24,"")</f>
        <v>45198</v>
      </c>
      <c r="L24" s="12" t="str">
        <f>IFERROR(INDEX(Таблиця3[звання скорочено],MATCH('Ш Лист 1'!M24,Таблиця3[ПІБ],0)),"")</f>
        <v>солд</v>
      </c>
      <c r="M24" s="21" t="str">
        <f>IF(T24,$U$6,"")</f>
        <v>Руль В.М.</v>
      </c>
      <c r="N24" s="15">
        <f>IF(T24,T24,"")</f>
        <v>45198</v>
      </c>
      <c r="O24" s="13" t="str">
        <f>IF(T24,TEXT(U24,"ч:мм")&amp;" "&amp;TEXT(T24,"дд.мм.гггг"),"")</f>
        <v>12:20 29.00.2023</v>
      </c>
      <c r="P24" s="16">
        <f>IF(T24,R22,"")</f>
        <v>123893</v>
      </c>
      <c r="Q24" s="13" t="str">
        <f>IF(T24,TEXT(W24,"ч:мм")&amp;" "&amp;TEXT(V24,"дд.мм.гггг"),"")</f>
        <v>18:10 29.00.2023</v>
      </c>
      <c r="R24" s="86">
        <v>123894</v>
      </c>
      <c r="S24" s="14">
        <v>7</v>
      </c>
      <c r="T24" s="74">
        <v>45198</v>
      </c>
      <c r="U24" s="75">
        <v>0.51388888888888895</v>
      </c>
      <c r="V24" s="74">
        <v>45198</v>
      </c>
      <c r="W24" s="75">
        <v>0.75694444444444453</v>
      </c>
      <c r="Y24" s="4">
        <v>45150</v>
      </c>
      <c r="Z24" s="4">
        <v>0.72916666666666663</v>
      </c>
      <c r="AA24" s="4">
        <v>45151</v>
      </c>
      <c r="AB24" s="4">
        <v>0.29166666666666669</v>
      </c>
    </row>
    <row r="25" spans="1:28" ht="6" customHeight="1" x14ac:dyDescent="0.25">
      <c r="A25" s="136"/>
      <c r="B25" s="113"/>
      <c r="C25" s="47"/>
      <c r="D25" s="128"/>
      <c r="E25" s="114"/>
      <c r="F25" s="127"/>
      <c r="G25" s="116"/>
      <c r="H25" s="51"/>
      <c r="I25" s="5"/>
      <c r="J25" s="3" t="s">
        <v>67</v>
      </c>
      <c r="K25" s="19"/>
      <c r="L25" s="5"/>
      <c r="M25" s="3" t="s">
        <v>67</v>
      </c>
      <c r="N25" s="19"/>
      <c r="O25" s="2" t="s">
        <v>66</v>
      </c>
      <c r="P25" s="20"/>
      <c r="Q25" s="2" t="s">
        <v>66</v>
      </c>
      <c r="R25" s="11"/>
      <c r="S25" s="14"/>
      <c r="T25" s="76"/>
      <c r="U25" s="77"/>
      <c r="V25" s="78"/>
      <c r="W25" s="77"/>
    </row>
    <row r="26" spans="1:28" ht="10.35" customHeight="1" x14ac:dyDescent="0.25">
      <c r="A26" s="136"/>
      <c r="B26" s="113"/>
      <c r="C26" s="129" t="str">
        <f>O33</f>
        <v/>
      </c>
      <c r="D26" s="128"/>
      <c r="E26" s="114"/>
      <c r="F26" s="127"/>
      <c r="G26" s="116"/>
      <c r="H26" s="51"/>
      <c r="I26" s="12" t="str">
        <f>IFERROR(INDEX(Таблиця3[звання скорочено],MATCH('Ш Лист 1'!J26,Таблиця3[ПІБ],0)),"")</f>
        <v>к-н</v>
      </c>
      <c r="J26" s="21" t="str">
        <f>IF(T26,$U$5,"")</f>
        <v>Майбах М.Б.</v>
      </c>
      <c r="K26" s="15">
        <f>IF(T26,T26,"")</f>
        <v>45198</v>
      </c>
      <c r="L26" s="12" t="str">
        <f>IFERROR(INDEX(Таблиця3[звання скорочено],MATCH('Ш Лист 1'!M26,Таблиця3[ПІБ],0)),"")</f>
        <v>солд</v>
      </c>
      <c r="M26" s="21" t="str">
        <f>IF(T26,$U$6,"")</f>
        <v>Руль В.М.</v>
      </c>
      <c r="N26" s="15">
        <f>IF(T26,T26,"")</f>
        <v>45198</v>
      </c>
      <c r="O26" s="13" t="str">
        <f>IF(T26,TEXT(U26,"ч:мм")&amp;" "&amp;TEXT(T26,"дд.мм.гггг"),"")</f>
        <v>12:30 29.00.2023</v>
      </c>
      <c r="P26" s="16">
        <f>IF(T26,R24,"")</f>
        <v>123894</v>
      </c>
      <c r="Q26" s="13" t="str">
        <f>IF(T26,TEXT(W26,"ч:мм")&amp;" "&amp;TEXT(V26,"дд.мм.гггг"),"")</f>
        <v>19:10 29.00.2023</v>
      </c>
      <c r="R26" s="86">
        <v>123895</v>
      </c>
      <c r="S26" s="14">
        <v>8</v>
      </c>
      <c r="T26" s="74">
        <v>45198</v>
      </c>
      <c r="U26" s="75">
        <v>0.52083333333333337</v>
      </c>
      <c r="V26" s="74">
        <v>45198</v>
      </c>
      <c r="W26" s="75">
        <v>0.79861111111111116</v>
      </c>
    </row>
    <row r="27" spans="1:28" ht="6" customHeight="1" x14ac:dyDescent="0.25">
      <c r="A27" s="136"/>
      <c r="B27" s="113"/>
      <c r="C27" s="129"/>
      <c r="D27" s="128"/>
      <c r="E27" s="114"/>
      <c r="F27" s="127"/>
      <c r="G27" s="116"/>
      <c r="H27" s="51"/>
      <c r="I27" s="5"/>
      <c r="J27" s="3" t="s">
        <v>67</v>
      </c>
      <c r="K27" s="19"/>
      <c r="L27" s="5"/>
      <c r="M27" s="3" t="s">
        <v>67</v>
      </c>
      <c r="N27" s="19"/>
      <c r="O27" s="2" t="s">
        <v>66</v>
      </c>
      <c r="P27" s="20"/>
      <c r="Q27" s="2" t="s">
        <v>66</v>
      </c>
      <c r="R27" s="11"/>
      <c r="S27" s="14"/>
      <c r="T27" s="76"/>
      <c r="U27" s="77"/>
      <c r="V27" s="78"/>
      <c r="W27" s="77"/>
    </row>
    <row r="28" spans="1:28" ht="9.6" customHeight="1" x14ac:dyDescent="0.25">
      <c r="A28" s="136"/>
      <c r="B28" s="113"/>
      <c r="C28" s="129"/>
      <c r="D28" s="128"/>
      <c r="E28" s="114"/>
      <c r="F28" s="127"/>
      <c r="G28" s="116"/>
      <c r="H28" s="51"/>
      <c r="I28" s="12" t="str">
        <f>IFERROR(INDEX(Таблиця3[звання скорочено],MATCH('Ш Лист 1'!J28,Таблиця3[ПІБ],0)),"")</f>
        <v/>
      </c>
      <c r="J28" s="21" t="str">
        <f>IF(T28,$U$5,"")</f>
        <v/>
      </c>
      <c r="K28" s="15" t="str">
        <f>IF(T28,T28,"")</f>
        <v/>
      </c>
      <c r="L28" s="12" t="str">
        <f>IFERROR(INDEX(Таблиця3[звання скорочено],MATCH('Ш Лист 1'!M28,Таблиця3[ПІБ],0)),"")</f>
        <v/>
      </c>
      <c r="M28" s="21" t="str">
        <f>IF(T28,$U$6,"")</f>
        <v/>
      </c>
      <c r="N28" s="15" t="str">
        <f>IF(T28,T28,"")</f>
        <v/>
      </c>
      <c r="O28" s="13" t="str">
        <f>IF(T28,TEXT(U28,"ч:мм")&amp;" "&amp;TEXT(T28,"дд.мм.гггг"),"")</f>
        <v/>
      </c>
      <c r="P28" s="16" t="str">
        <f>IF(T28,R26,"")</f>
        <v/>
      </c>
      <c r="Q28" s="13" t="str">
        <f>IF(T28,TEXT(W28,"ч:мм")&amp;" "&amp;TEXT(V28,"дд.мм.гггг"),"")</f>
        <v/>
      </c>
      <c r="R28" s="86"/>
      <c r="S28" s="14">
        <v>9</v>
      </c>
      <c r="T28" s="74"/>
      <c r="U28" s="75"/>
      <c r="V28" s="74"/>
      <c r="W28" s="75"/>
    </row>
    <row r="29" spans="1:28" ht="6" customHeight="1" x14ac:dyDescent="0.25">
      <c r="A29" s="136"/>
      <c r="B29" s="113"/>
      <c r="C29" s="129"/>
      <c r="D29" s="128"/>
      <c r="E29" s="114"/>
      <c r="F29" s="127"/>
      <c r="G29" s="116"/>
      <c r="H29" s="51"/>
      <c r="I29" s="5"/>
      <c r="J29" s="3" t="s">
        <v>67</v>
      </c>
      <c r="K29" s="19"/>
      <c r="L29" s="5"/>
      <c r="M29" s="3" t="s">
        <v>67</v>
      </c>
      <c r="N29" s="19"/>
      <c r="O29" s="2" t="s">
        <v>66</v>
      </c>
      <c r="P29" s="20"/>
      <c r="Q29" s="2" t="s">
        <v>66</v>
      </c>
      <c r="R29" s="11"/>
      <c r="S29" s="14"/>
      <c r="T29" s="76"/>
      <c r="U29" s="77"/>
      <c r="V29" s="78"/>
      <c r="W29" s="77"/>
    </row>
    <row r="30" spans="1:28" ht="9.6" customHeight="1" x14ac:dyDescent="0.25">
      <c r="A30" s="136"/>
      <c r="B30" s="113"/>
      <c r="C30" s="129"/>
      <c r="D30" s="128"/>
      <c r="E30" s="114"/>
      <c r="F30" s="127"/>
      <c r="G30" s="116"/>
      <c r="H30" s="51"/>
      <c r="I30" s="12" t="str">
        <f>IFERROR(INDEX(Таблиця3[звання скорочено],MATCH('Ш Лист 1'!J30,Таблиця3[ПІБ],0)),"")</f>
        <v/>
      </c>
      <c r="J30" s="21" t="str">
        <f>IF(T30,$U$5,"")</f>
        <v/>
      </c>
      <c r="K30" s="15" t="str">
        <f>IF(T30,T30,"")</f>
        <v/>
      </c>
      <c r="L30" s="12" t="str">
        <f>IFERROR(INDEX(Таблиця3[звання скорочено],MATCH('Ш Лист 1'!M30,Таблиця3[ПІБ],0)),"")</f>
        <v/>
      </c>
      <c r="M30" s="21" t="str">
        <f>IF(T30,$U$6,"")</f>
        <v/>
      </c>
      <c r="N30" s="15" t="str">
        <f>IF(T30,T30,"")</f>
        <v/>
      </c>
      <c r="O30" s="13" t="str">
        <f>IF(T30,TEXT(U30,"ч:мм")&amp;" "&amp;TEXT(T30,"дд.мм.гггг"),"")</f>
        <v/>
      </c>
      <c r="P30" s="16" t="str">
        <f>IF(T30,R28,"")</f>
        <v/>
      </c>
      <c r="Q30" s="13" t="str">
        <f>IF(T30,TEXT(W30,"ч:мм")&amp;" "&amp;TEXT(V30,"дд.мм.гггг"),"")</f>
        <v/>
      </c>
      <c r="R30" s="86"/>
      <c r="S30" s="14">
        <v>10</v>
      </c>
      <c r="T30" s="74"/>
      <c r="U30" s="75"/>
      <c r="V30" s="74"/>
      <c r="W30" s="75"/>
    </row>
    <row r="31" spans="1:28" ht="6" customHeight="1" thickBot="1" x14ac:dyDescent="0.3">
      <c r="A31" s="136"/>
      <c r="B31" s="113"/>
      <c r="C31" s="129"/>
      <c r="D31" s="128"/>
      <c r="E31" s="114"/>
      <c r="F31" s="48"/>
      <c r="G31" s="116"/>
      <c r="H31" s="51"/>
      <c r="I31" s="5"/>
      <c r="J31" s="3" t="s">
        <v>67</v>
      </c>
      <c r="K31" s="6"/>
      <c r="L31" s="5"/>
      <c r="M31" s="3" t="s">
        <v>67</v>
      </c>
      <c r="N31" s="6"/>
      <c r="O31" s="2" t="s">
        <v>66</v>
      </c>
      <c r="P31" s="20"/>
      <c r="Q31" s="2" t="s">
        <v>66</v>
      </c>
      <c r="R31" s="11"/>
      <c r="T31" s="79"/>
      <c r="U31" s="80"/>
      <c r="V31" s="81"/>
      <c r="W31" s="80"/>
    </row>
    <row r="32" spans="1:28" ht="25.7" customHeight="1" x14ac:dyDescent="0.25">
      <c r="A32" s="136"/>
      <c r="B32" s="113"/>
      <c r="C32" s="129"/>
      <c r="D32" s="128"/>
      <c r="E32" s="114"/>
      <c r="F32" s="48"/>
      <c r="G32" s="116"/>
      <c r="H32" s="51"/>
      <c r="I32" s="38" t="s">
        <v>7</v>
      </c>
      <c r="J32" s="38" t="s">
        <v>8</v>
      </c>
      <c r="K32" s="38" t="s">
        <v>9</v>
      </c>
      <c r="L32" s="38" t="s">
        <v>10</v>
      </c>
      <c r="M32" s="39" t="s">
        <v>11</v>
      </c>
      <c r="N32" s="39" t="s">
        <v>55</v>
      </c>
      <c r="O32" s="39" t="s">
        <v>56</v>
      </c>
      <c r="P32" s="39" t="s">
        <v>28</v>
      </c>
      <c r="Q32" s="39" t="s">
        <v>57</v>
      </c>
      <c r="R32" s="39" t="s">
        <v>58</v>
      </c>
      <c r="S32" s="4" t="s">
        <v>100</v>
      </c>
      <c r="T32" s="4">
        <f>COLUMN()</f>
        <v>20</v>
      </c>
      <c r="U32" s="4">
        <f>COLUMN()</f>
        <v>21</v>
      </c>
      <c r="V32" s="4">
        <f>COLUMN()</f>
        <v>22</v>
      </c>
      <c r="W32" s="4">
        <f>COLUMN()</f>
        <v>23</v>
      </c>
      <c r="X32" s="4">
        <f>COUNT(T12:T31)</f>
        <v>8</v>
      </c>
    </row>
    <row r="33" spans="1:19" s="18" customFormat="1" ht="25.7" customHeight="1" x14ac:dyDescent="0.25">
      <c r="A33" s="136"/>
      <c r="B33" s="132" t="str">
        <f>L33</f>
        <v>бетмобіль</v>
      </c>
      <c r="C33" s="129"/>
      <c r="D33" s="128"/>
      <c r="E33" s="114"/>
      <c r="F33" s="49"/>
      <c r="G33" s="116"/>
      <c r="H33" s="53"/>
      <c r="I33" s="42">
        <f>O3</f>
        <v>35</v>
      </c>
      <c r="J33" s="44">
        <f>U4</f>
        <v>45201</v>
      </c>
      <c r="K33" s="43" t="str">
        <f>S33&amp;" "&amp;S34</f>
        <v xml:space="preserve">Наряд № </v>
      </c>
      <c r="L33" s="85" t="s">
        <v>52</v>
      </c>
      <c r="M33" s="42" t="str">
        <f>INDEX(auto[номерний знак],MATCH('Ш Лист 1'!L33,auto[назва автомобіля],0))</f>
        <v>ВВ4535ОО</v>
      </c>
      <c r="N33" s="85"/>
      <c r="O33" s="42" t="str">
        <f>IFERROR(INDEX(auto[номерний знак],MATCH('Ш Лист 1'!N33,auto[назва автомобіля],0)),"")</f>
        <v/>
      </c>
      <c r="P33" s="42" t="str">
        <f>INDEX(auto[група експлуатації],MATCH('Ш Лист 1'!L33,auto[назва автомобіля],0))</f>
        <v>тр</v>
      </c>
      <c r="Q33" s="42"/>
      <c r="R33" s="42"/>
      <c r="S33" s="82" t="s">
        <v>98</v>
      </c>
    </row>
    <row r="34" spans="1:19" ht="12" customHeight="1" x14ac:dyDescent="0.25">
      <c r="A34" s="136"/>
      <c r="B34" s="132"/>
      <c r="C34" s="129"/>
      <c r="D34" s="128"/>
      <c r="E34" s="114"/>
      <c r="F34" s="48"/>
      <c r="G34" s="116"/>
      <c r="H34" s="51"/>
      <c r="I34" s="40" t="s">
        <v>85</v>
      </c>
      <c r="J34" s="41"/>
      <c r="K34" s="41"/>
      <c r="L34" s="41"/>
      <c r="M34" s="41"/>
      <c r="N34" s="41"/>
      <c r="O34" s="41"/>
      <c r="P34" s="41"/>
      <c r="Q34" s="41"/>
      <c r="R34" s="41"/>
      <c r="S34" s="82"/>
    </row>
    <row r="35" spans="1:19" ht="34.700000000000003" customHeight="1" x14ac:dyDescent="0.25">
      <c r="A35" s="136"/>
      <c r="B35" s="132"/>
      <c r="C35" s="113" t="s">
        <v>97</v>
      </c>
      <c r="D35" s="128"/>
      <c r="E35" s="114"/>
      <c r="F35" s="113" t="s">
        <v>103</v>
      </c>
      <c r="G35" s="116"/>
      <c r="H35" s="51"/>
      <c r="I35" s="38" t="s">
        <v>12</v>
      </c>
      <c r="J35" s="38" t="s">
        <v>86</v>
      </c>
      <c r="K35" s="38" t="s">
        <v>13</v>
      </c>
      <c r="L35" s="120" t="s">
        <v>14</v>
      </c>
      <c r="M35" s="121"/>
      <c r="N35" s="39" t="s">
        <v>15</v>
      </c>
      <c r="O35" s="39" t="s">
        <v>145</v>
      </c>
      <c r="P35" s="39" t="s">
        <v>16</v>
      </c>
      <c r="Q35" s="39" t="s">
        <v>87</v>
      </c>
      <c r="R35" s="39" t="s">
        <v>88</v>
      </c>
    </row>
    <row r="36" spans="1:19" ht="10.7" customHeight="1" x14ac:dyDescent="0.25">
      <c r="A36" s="45"/>
      <c r="B36" s="132"/>
      <c r="C36" s="113"/>
      <c r="D36" s="113" t="s">
        <v>101</v>
      </c>
      <c r="E36" s="113" t="s">
        <v>102</v>
      </c>
      <c r="F36" s="113"/>
      <c r="G36" s="46"/>
      <c r="H36" s="51"/>
      <c r="I36" s="100" t="str">
        <f>IF(M36,'Ш Лист 2'!$A$18,"")</f>
        <v>ДТ</v>
      </c>
      <c r="J36" s="83"/>
      <c r="K36" s="83">
        <v>12</v>
      </c>
      <c r="L36" s="84">
        <v>45198</v>
      </c>
      <c r="M36" s="83">
        <v>50</v>
      </c>
      <c r="N36" s="69">
        <f>SUMIFS($M$36:$M$44,$I$36:$I$44,I36)+SUMIFS($K$36:$K$44,$I$36:$I$44,I36)-O36</f>
        <v>48</v>
      </c>
      <c r="O36" s="69">
        <f>'Ш Лист 2'!H18</f>
        <v>14</v>
      </c>
      <c r="P36" s="69">
        <f t="shared" ref="P36:P41" si="0">O36</f>
        <v>14</v>
      </c>
      <c r="Q36" s="69" t="str">
        <f>IF(O36&lt;P36,P36-O36,"")</f>
        <v/>
      </c>
      <c r="R36" s="102" t="str">
        <f>IF(O36&gt;P36,O36-P36,"")</f>
        <v/>
      </c>
      <c r="S36" s="91"/>
    </row>
    <row r="37" spans="1:19" ht="10.7" customHeight="1" x14ac:dyDescent="0.25">
      <c r="A37" s="45"/>
      <c r="B37" s="132"/>
      <c r="C37" s="113"/>
      <c r="D37" s="113"/>
      <c r="E37" s="113"/>
      <c r="F37" s="113"/>
      <c r="G37" s="46"/>
      <c r="H37" s="51"/>
      <c r="I37" s="100" t="str">
        <f>IF(M37,'Ш Лист 2'!$A$18,"")</f>
        <v/>
      </c>
      <c r="J37" s="83"/>
      <c r="K37" s="83"/>
      <c r="L37" s="84"/>
      <c r="M37" s="83"/>
      <c r="N37" s="69"/>
      <c r="O37" s="69"/>
      <c r="P37" s="69"/>
      <c r="Q37" s="69" t="str">
        <f t="shared" ref="Q37:Q42" si="1">IF(O37&lt;P37,P37-O37,"")</f>
        <v/>
      </c>
      <c r="R37" s="102" t="str">
        <f t="shared" ref="R37:R42" si="2">IF(O37&gt;P37,O37-P37,"")</f>
        <v/>
      </c>
      <c r="S37" s="91"/>
    </row>
    <row r="38" spans="1:19" ht="10.7" customHeight="1" x14ac:dyDescent="0.25">
      <c r="A38" s="45"/>
      <c r="B38" s="132"/>
      <c r="C38" s="113"/>
      <c r="D38" s="113"/>
      <c r="E38" s="113"/>
      <c r="F38" s="113"/>
      <c r="G38" s="46"/>
      <c r="H38" s="51"/>
      <c r="I38" s="100" t="str">
        <f>IF(M38,'Ш Лист 2'!$A$18,"")</f>
        <v/>
      </c>
      <c r="J38" s="83"/>
      <c r="K38" s="83"/>
      <c r="L38" s="84"/>
      <c r="M38" s="83"/>
      <c r="N38" s="69"/>
      <c r="O38" s="69"/>
      <c r="P38" s="69"/>
      <c r="Q38" s="69" t="str">
        <f t="shared" si="1"/>
        <v/>
      </c>
      <c r="R38" s="102" t="str">
        <f t="shared" si="2"/>
        <v/>
      </c>
      <c r="S38" s="91"/>
    </row>
    <row r="39" spans="1:19" ht="10.7" customHeight="1" x14ac:dyDescent="0.25">
      <c r="A39" s="45"/>
      <c r="B39" s="113" t="s">
        <v>92</v>
      </c>
      <c r="C39" s="113"/>
      <c r="D39" s="113"/>
      <c r="E39" s="113"/>
      <c r="F39" s="113"/>
      <c r="G39" s="46"/>
      <c r="H39" s="51"/>
      <c r="I39" s="100" t="str">
        <f>IF(M39,'Ш Лист 2'!$A$18,"")</f>
        <v/>
      </c>
      <c r="J39" s="83"/>
      <c r="K39" s="83"/>
      <c r="L39" s="84"/>
      <c r="M39" s="83"/>
      <c r="N39" s="69"/>
      <c r="O39" s="69"/>
      <c r="P39" s="69"/>
      <c r="Q39" s="69" t="str">
        <f t="shared" si="1"/>
        <v/>
      </c>
      <c r="R39" s="102" t="str">
        <f t="shared" si="2"/>
        <v/>
      </c>
    </row>
    <row r="40" spans="1:19" ht="10.7" customHeight="1" x14ac:dyDescent="0.25">
      <c r="A40" s="45"/>
      <c r="B40" s="113"/>
      <c r="C40" s="113"/>
      <c r="D40" s="113"/>
      <c r="E40" s="113"/>
      <c r="F40" s="113"/>
      <c r="G40" s="46"/>
      <c r="H40" s="51"/>
      <c r="I40" s="100" t="str">
        <f>IF(M40,'Ш Лист 2'!$A$18,"")</f>
        <v/>
      </c>
      <c r="J40" s="83"/>
      <c r="K40" s="83"/>
      <c r="L40" s="84"/>
      <c r="M40" s="83"/>
      <c r="N40" s="69"/>
      <c r="O40" s="69"/>
      <c r="P40" s="69"/>
      <c r="Q40" s="69" t="str">
        <f t="shared" si="1"/>
        <v/>
      </c>
      <c r="R40" s="102" t="str">
        <f t="shared" si="2"/>
        <v/>
      </c>
      <c r="S40" s="91">
        <f>COUNT(L36:L40)</f>
        <v>1</v>
      </c>
    </row>
    <row r="41" spans="1:19" ht="10.7" customHeight="1" x14ac:dyDescent="0.25">
      <c r="A41" s="45"/>
      <c r="B41" s="113"/>
      <c r="C41" s="113"/>
      <c r="D41" s="113"/>
      <c r="E41" s="113"/>
      <c r="F41" s="113"/>
      <c r="G41" s="46"/>
      <c r="H41" s="51"/>
      <c r="I41" s="100" t="str">
        <f>IF(M41,'Ш Лист 2'!$A$20,"")</f>
        <v/>
      </c>
      <c r="J41" s="96"/>
      <c r="K41" s="96"/>
      <c r="L41" s="97"/>
      <c r="M41" s="96"/>
      <c r="N41" s="69" t="str">
        <f>IFERROR(SUMIFS($M$36:$M$44,$I$36:$I$44,I41)+SUMIFS($K$36:$K$44,$I$36:$I$44,I41)-O41,"")</f>
        <v/>
      </c>
      <c r="O41" s="69" t="str">
        <f>'Ш Лист 2'!F20</f>
        <v/>
      </c>
      <c r="P41" s="69" t="str">
        <f t="shared" si="0"/>
        <v/>
      </c>
      <c r="Q41" s="69" t="str">
        <f t="shared" si="1"/>
        <v/>
      </c>
      <c r="R41" s="102" t="str">
        <f t="shared" si="2"/>
        <v/>
      </c>
      <c r="S41" s="91"/>
    </row>
    <row r="42" spans="1:19" ht="10.7" customHeight="1" x14ac:dyDescent="0.25">
      <c r="A42" s="45"/>
      <c r="B42" s="113"/>
      <c r="C42" s="113"/>
      <c r="D42" s="113"/>
      <c r="E42" s="113"/>
      <c r="F42" s="113"/>
      <c r="G42" s="46"/>
      <c r="H42" s="51"/>
      <c r="I42" s="100" t="str">
        <f>IF(M42,'Ш Лист 2'!$A$20,"")</f>
        <v/>
      </c>
      <c r="J42" s="96"/>
      <c r="K42" s="96"/>
      <c r="L42" s="97"/>
      <c r="M42" s="96"/>
      <c r="N42" s="69"/>
      <c r="O42" s="69"/>
      <c r="P42" s="69"/>
      <c r="Q42" s="69" t="str">
        <f t="shared" si="1"/>
        <v/>
      </c>
      <c r="R42" s="102" t="str">
        <f t="shared" si="2"/>
        <v/>
      </c>
      <c r="S42" s="91"/>
    </row>
    <row r="43" spans="1:19" ht="10.7" customHeight="1" x14ac:dyDescent="0.25">
      <c r="A43" s="45"/>
      <c r="B43" s="113"/>
      <c r="C43" s="113"/>
      <c r="D43" s="113"/>
      <c r="E43" s="113"/>
      <c r="F43" s="113"/>
      <c r="G43" s="46"/>
      <c r="H43" s="51"/>
      <c r="I43" s="100" t="str">
        <f>IF(M43,'Ш Лист 2'!$A$20,"")</f>
        <v/>
      </c>
      <c r="J43" s="96"/>
      <c r="K43" s="96"/>
      <c r="L43" s="97"/>
      <c r="M43" s="96"/>
      <c r="N43" s="69"/>
      <c r="O43" s="69"/>
      <c r="P43" s="69"/>
      <c r="Q43" s="69" t="str">
        <f t="shared" ref="Q43:Q44" si="3">IF(O43&lt;P43,P43-O43,"")</f>
        <v/>
      </c>
      <c r="R43" s="102" t="str">
        <f t="shared" ref="R43:R44" si="4">IF(O43&gt;P43,O43-P43,"")</f>
        <v/>
      </c>
      <c r="S43" s="91"/>
    </row>
    <row r="44" spans="1:19" ht="10.7" customHeight="1" x14ac:dyDescent="0.25">
      <c r="B44" s="113"/>
      <c r="C44" s="113"/>
      <c r="D44" s="113"/>
      <c r="E44" s="113"/>
      <c r="F44" s="113"/>
      <c r="G44" s="46"/>
      <c r="H44" s="51"/>
      <c r="I44" s="100" t="str">
        <f>IF(M44,'Ш Лист 2'!$A$20,"")</f>
        <v/>
      </c>
      <c r="J44" s="96"/>
      <c r="K44" s="96"/>
      <c r="L44" s="97"/>
      <c r="M44" s="96"/>
      <c r="N44" s="69"/>
      <c r="O44" s="69"/>
      <c r="P44" s="69"/>
      <c r="Q44" s="69" t="str">
        <f t="shared" si="3"/>
        <v/>
      </c>
      <c r="R44" s="102" t="str">
        <f t="shared" si="4"/>
        <v/>
      </c>
      <c r="S44" s="91">
        <f>COUNT(L41:L44)</f>
        <v>0</v>
      </c>
    </row>
  </sheetData>
  <mergeCells count="33">
    <mergeCell ref="L10:N10"/>
    <mergeCell ref="L11:N11"/>
    <mergeCell ref="A18:A35"/>
    <mergeCell ref="A12:A17"/>
    <mergeCell ref="I10:K11"/>
    <mergeCell ref="D36:D44"/>
    <mergeCell ref="D1:D35"/>
    <mergeCell ref="C35:C44"/>
    <mergeCell ref="C26:C34"/>
    <mergeCell ref="B39:B44"/>
    <mergeCell ref="B1:B4"/>
    <mergeCell ref="C10:C20"/>
    <mergeCell ref="C1:C8"/>
    <mergeCell ref="B33:B38"/>
    <mergeCell ref="B20:B32"/>
    <mergeCell ref="B12:B19"/>
    <mergeCell ref="B5:B11"/>
    <mergeCell ref="E36:E44"/>
    <mergeCell ref="E1:E35"/>
    <mergeCell ref="K6:R6"/>
    <mergeCell ref="G8:G35"/>
    <mergeCell ref="Q1:R1"/>
    <mergeCell ref="Q9:R9"/>
    <mergeCell ref="O9:P9"/>
    <mergeCell ref="O11:P11"/>
    <mergeCell ref="Q11:R11"/>
    <mergeCell ref="L35:M35"/>
    <mergeCell ref="I9:K9"/>
    <mergeCell ref="F4:F7"/>
    <mergeCell ref="F1:F3"/>
    <mergeCell ref="F9:F30"/>
    <mergeCell ref="F35:F44"/>
    <mergeCell ref="L9:N9"/>
  </mergeCells>
  <phoneticPr fontId="29" type="noConversion"/>
  <conditionalFormatting sqref="R12">
    <cfRule type="expression" dxfId="22" priority="16">
      <formula>R12&lt;P12</formula>
    </cfRule>
  </conditionalFormatting>
  <conditionalFormatting sqref="R14">
    <cfRule type="expression" dxfId="21" priority="15">
      <formula>R14&lt;P14</formula>
    </cfRule>
  </conditionalFormatting>
  <conditionalFormatting sqref="R16">
    <cfRule type="expression" dxfId="20" priority="14">
      <formula>R16&lt;P16</formula>
    </cfRule>
  </conditionalFormatting>
  <conditionalFormatting sqref="R18">
    <cfRule type="expression" dxfId="19" priority="13">
      <formula>R18&lt;P18</formula>
    </cfRule>
  </conditionalFormatting>
  <conditionalFormatting sqref="R20">
    <cfRule type="expression" dxfId="18" priority="12">
      <formula>R20&lt;P20</formula>
    </cfRule>
  </conditionalFormatting>
  <conditionalFormatting sqref="R22">
    <cfRule type="expression" dxfId="17" priority="11">
      <formula>R22&lt;P22</formula>
    </cfRule>
  </conditionalFormatting>
  <conditionalFormatting sqref="R24">
    <cfRule type="expression" dxfId="16" priority="10">
      <formula>R24&lt;P24</formula>
    </cfRule>
  </conditionalFormatting>
  <conditionalFormatting sqref="R26">
    <cfRule type="expression" dxfId="15" priority="3">
      <formula>R26&lt;P26</formula>
    </cfRule>
  </conditionalFormatting>
  <conditionalFormatting sqref="R28">
    <cfRule type="expression" dxfId="14" priority="2">
      <formula>R28&lt;P28</formula>
    </cfRule>
  </conditionalFormatting>
  <conditionalFormatting sqref="R30">
    <cfRule type="expression" dxfId="13" priority="1">
      <formula>R30&lt;P30</formula>
    </cfRule>
  </conditionalFormatting>
  <conditionalFormatting sqref="S33">
    <cfRule type="expression" dxfId="12" priority="4">
      <formula>S33&lt;U32</formula>
    </cfRule>
  </conditionalFormatting>
  <conditionalFormatting sqref="V10">
    <cfRule type="expression" dxfId="11" priority="6">
      <formula>V10&lt;T10</formula>
    </cfRule>
  </conditionalFormatting>
  <conditionalFormatting sqref="V12:V31">
    <cfRule type="expression" dxfId="10" priority="5">
      <formula>V12&lt;T12</formula>
    </cfRule>
  </conditionalFormatting>
  <conditionalFormatting sqref="S34">
    <cfRule type="expression" dxfId="9" priority="18">
      <formula>S34&lt;V32</formula>
    </cfRule>
  </conditionalFormatting>
  <dataValidations count="3">
    <dataValidation type="list" allowBlank="1" showInputMessage="1" showErrorMessage="1" sqref="U5:U6 R7 R5 F9 D1" xr:uid="{C9CC8E64-651D-48BA-8813-BAFDFB33FA0B}">
      <formula1>PIB</formula1>
    </dataValidation>
    <dataValidation type="list" allowBlank="1" showInputMessage="1" showErrorMessage="1" sqref="L33 N33" xr:uid="{3D7E6E9B-DF6B-45ED-A6CF-5BCA28B1634C}">
      <formula1>Vehicles</formula1>
    </dataValidation>
    <dataValidation type="list" allowBlank="1" showInputMessage="1" showErrorMessage="1" sqref="K6" xr:uid="{62173CA3-D902-4FDD-B9EB-342E86F0CDAA}">
      <formula1>Routes</formula1>
    </dataValidation>
  </dataValidations>
  <pageMargins left="0.59055118110236227" right="0.59055118110236227" top="0.78740157480314965" bottom="0.39370078740157483" header="0" footer="0"/>
  <pageSetup paperSize="9" scale="9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>
                <anchor moveWithCells="1" sizeWithCells="1">
                  <from>
                    <xdr:col>15</xdr:col>
                    <xdr:colOff>47625</xdr:colOff>
                    <xdr:row>0</xdr:row>
                    <xdr:rowOff>200025</xdr:rowOff>
                  </from>
                  <to>
                    <xdr:col>15</xdr:col>
                    <xdr:colOff>371475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37BD-6863-4205-8B29-BE2052C2178A}">
  <sheetPr codeName="Аркуш3"/>
  <dimension ref="A1:P28"/>
  <sheetViews>
    <sheetView tabSelected="1" view="pageBreakPreview" topLeftCell="A3" zoomScaleNormal="100" zoomScaleSheetLayoutView="100" workbookViewId="0">
      <selection activeCell="A6" sqref="A6"/>
    </sheetView>
  </sheetViews>
  <sheetFormatPr defaultRowHeight="15" x14ac:dyDescent="0.25"/>
  <cols>
    <col min="1" max="1" width="24.85546875" customWidth="1"/>
    <col min="2" max="2" width="6.85546875" customWidth="1"/>
    <col min="3" max="3" width="5.42578125" customWidth="1"/>
    <col min="4" max="4" width="7.140625" customWidth="1"/>
    <col min="5" max="5" width="5" customWidth="1"/>
    <col min="6" max="6" width="8.140625" customWidth="1"/>
    <col min="7" max="7" width="6.140625" customWidth="1"/>
    <col min="8" max="8" width="5.85546875" customWidth="1"/>
    <col min="9" max="10" width="4.85546875" customWidth="1"/>
    <col min="11" max="11" width="5.140625" customWidth="1"/>
    <col min="12" max="12" width="5.85546875" customWidth="1"/>
    <col min="13" max="13" width="5" customWidth="1"/>
    <col min="14" max="14" width="19.5703125" customWidth="1"/>
    <col min="15" max="15" width="18.85546875" customWidth="1"/>
  </cols>
  <sheetData>
    <row r="1" spans="1:16" x14ac:dyDescent="0.25">
      <c r="A1" s="146" t="s">
        <v>133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1:16" ht="15.75" x14ac:dyDescent="0.25">
      <c r="A2" s="152" t="s">
        <v>112</v>
      </c>
      <c r="B2" s="141" t="s">
        <v>17</v>
      </c>
      <c r="C2" s="141"/>
      <c r="D2" s="142" t="s">
        <v>20</v>
      </c>
      <c r="E2" s="142"/>
      <c r="F2" s="142"/>
      <c r="G2" s="142"/>
      <c r="H2" s="142"/>
      <c r="I2" s="141" t="s">
        <v>115</v>
      </c>
      <c r="J2" s="141"/>
      <c r="K2" s="141"/>
      <c r="L2" s="141" t="s">
        <v>116</v>
      </c>
      <c r="M2" s="141"/>
      <c r="N2" s="141" t="s">
        <v>22</v>
      </c>
    </row>
    <row r="3" spans="1:16" ht="30.6" customHeight="1" x14ac:dyDescent="0.25">
      <c r="A3" s="152"/>
      <c r="B3" s="141"/>
      <c r="C3" s="141"/>
      <c r="D3" s="143" t="s">
        <v>111</v>
      </c>
      <c r="E3" s="143" t="s">
        <v>110</v>
      </c>
      <c r="F3" s="143" t="s">
        <v>21</v>
      </c>
      <c r="G3" s="142" t="s">
        <v>113</v>
      </c>
      <c r="H3" s="142"/>
      <c r="I3" s="141"/>
      <c r="J3" s="141"/>
      <c r="K3" s="141"/>
      <c r="L3" s="141"/>
      <c r="M3" s="141"/>
      <c r="N3" s="141"/>
    </row>
    <row r="4" spans="1:16" ht="91.35" customHeight="1" x14ac:dyDescent="0.25">
      <c r="A4" s="152"/>
      <c r="B4" s="57" t="s">
        <v>18</v>
      </c>
      <c r="C4" s="57" t="s">
        <v>19</v>
      </c>
      <c r="D4" s="143"/>
      <c r="E4" s="143"/>
      <c r="F4" s="143"/>
      <c r="G4" s="58" t="s">
        <v>114</v>
      </c>
      <c r="H4" s="58" t="s">
        <v>109</v>
      </c>
      <c r="I4" s="57" t="s">
        <v>108</v>
      </c>
      <c r="J4" s="57" t="s">
        <v>107</v>
      </c>
      <c r="K4" s="57" t="s">
        <v>21</v>
      </c>
      <c r="L4" s="58" t="s">
        <v>106</v>
      </c>
      <c r="M4" s="57" t="s">
        <v>105</v>
      </c>
      <c r="N4" s="141"/>
      <c r="O4" s="62" t="s">
        <v>117</v>
      </c>
    </row>
    <row r="5" spans="1:16" ht="15.75" x14ac:dyDescent="0.25">
      <c r="A5" s="59">
        <v>1</v>
      </c>
      <c r="B5" s="59">
        <v>2</v>
      </c>
      <c r="C5" s="59">
        <v>3</v>
      </c>
      <c r="D5" s="59">
        <v>4</v>
      </c>
      <c r="E5" s="59">
        <v>5</v>
      </c>
      <c r="F5" s="59">
        <v>6</v>
      </c>
      <c r="G5" s="59">
        <v>7</v>
      </c>
      <c r="H5" s="59">
        <v>8</v>
      </c>
      <c r="I5" s="59">
        <v>9</v>
      </c>
      <c r="J5" s="59">
        <v>10</v>
      </c>
      <c r="K5" s="59">
        <v>11</v>
      </c>
      <c r="L5" s="59">
        <v>12</v>
      </c>
      <c r="M5" s="59">
        <v>13</v>
      </c>
      <c r="N5" s="59">
        <v>14</v>
      </c>
    </row>
    <row r="6" spans="1:16" ht="16.7" customHeight="1" x14ac:dyDescent="0.25">
      <c r="A6" s="90" t="s">
        <v>149</v>
      </c>
      <c r="B6" s="60" t="str">
        <f>IF('Ш Лист 1'!T12,TEXT('Ш Лист 1'!U12,"ч:мм")&amp;CHAR(10)&amp;TEXT('Ш Лист 1'!T12,"дд.мм.гг"),"")</f>
        <v>7:30
29.00.23</v>
      </c>
      <c r="C6" s="60" t="str">
        <f>IF('Ш Лист 1'!T12,TEXT('Ш Лист 1'!W12,"ч:мм")&amp;CHAR(10)&amp;TEXT('Ш Лист 1'!V12,"дд.мм.гг"),"")</f>
        <v>18:10
29.00.23</v>
      </c>
      <c r="D6" s="55"/>
      <c r="E6" s="55"/>
      <c r="F6" s="63">
        <f>IFERROR('Ш Лист 1'!R12-'Ш Лист 1'!P12,0)</f>
        <v>111</v>
      </c>
      <c r="G6" s="55"/>
      <c r="H6" s="55"/>
      <c r="I6" s="55"/>
      <c r="J6" s="55"/>
      <c r="K6" s="55"/>
      <c r="L6" s="55"/>
      <c r="M6" s="55"/>
      <c r="N6" s="61">
        <f>IF('Ш Лист 1'!R12,'Ш Лист 1'!R12,"")</f>
        <v>123888</v>
      </c>
      <c r="P6" s="92">
        <v>1</v>
      </c>
    </row>
    <row r="7" spans="1:16" ht="16.7" customHeight="1" x14ac:dyDescent="0.25">
      <c r="A7" s="90" t="s">
        <v>164</v>
      </c>
      <c r="B7" s="60" t="str">
        <f>IF('Ш Лист 1'!T14,TEXT('Ш Лист 1'!U14,"ч:мм")&amp;CHAR(10)&amp;TEXT('Ш Лист 1'!T14,"дд.мм.гг"),"")</f>
        <v>7:50
30.00.23</v>
      </c>
      <c r="C7" s="60" t="str">
        <f>IF('Ш Лист 1'!T14,TEXT('Ш Лист 1'!W14,"ч:мм")&amp;CHAR(10)&amp;TEXT('Ш Лист 1'!V14,"дд.мм.гг"),"")</f>
        <v>19:00
30.00.23</v>
      </c>
      <c r="D7" s="55"/>
      <c r="E7" s="55"/>
      <c r="F7" s="63">
        <f>IFERROR('Ш Лист 1'!R14-'Ш Лист 1'!P14,0)</f>
        <v>1</v>
      </c>
      <c r="G7" s="55"/>
      <c r="H7" s="55"/>
      <c r="I7" s="55"/>
      <c r="J7" s="55"/>
      <c r="K7" s="55"/>
      <c r="L7" s="55"/>
      <c r="M7" s="55"/>
      <c r="N7" s="61">
        <f>IF('Ш Лист 1'!R14,'Ш Лист 1'!R14,"")</f>
        <v>123889</v>
      </c>
      <c r="P7" s="92">
        <v>2</v>
      </c>
    </row>
    <row r="8" spans="1:16" ht="16.7" customHeight="1" x14ac:dyDescent="0.25">
      <c r="A8" s="90" t="s">
        <v>164</v>
      </c>
      <c r="B8" s="60" t="str">
        <f>IF('Ш Лист 1'!T16,TEXT('Ш Лист 1'!U16,"ч:мм")&amp;CHAR(10)&amp;TEXT('Ш Лист 1'!T16,"дд.мм.гг"),"")</f>
        <v>8:52
29.00.23</v>
      </c>
      <c r="C8" s="60" t="str">
        <f>IF('Ш Лист 1'!T16,TEXT('Ш Лист 1'!W16,"ч:мм")&amp;CHAR(10)&amp;TEXT('Ш Лист 1'!V16,"дд.мм.гг"),"")</f>
        <v>17:20
29.00.23</v>
      </c>
      <c r="D8" s="55"/>
      <c r="E8" s="55"/>
      <c r="F8" s="63">
        <f>IFERROR('Ш Лист 1'!R16-'Ш Лист 1'!P16,0)</f>
        <v>1</v>
      </c>
      <c r="G8" s="55"/>
      <c r="H8" s="55"/>
      <c r="I8" s="55"/>
      <c r="J8" s="55"/>
      <c r="K8" s="55"/>
      <c r="L8" s="55"/>
      <c r="M8" s="55"/>
      <c r="N8" s="61">
        <f>IF('Ш Лист 1'!R16,'Ш Лист 1'!R16,"")</f>
        <v>123890</v>
      </c>
      <c r="P8" s="92">
        <v>3</v>
      </c>
    </row>
    <row r="9" spans="1:16" ht="16.7" customHeight="1" x14ac:dyDescent="0.25">
      <c r="A9" s="90" t="s">
        <v>164</v>
      </c>
      <c r="B9" s="60" t="str">
        <f>IF('Ш Лист 1'!T18,TEXT('Ш Лист 1'!U18,"ч:мм")&amp;CHAR(10)&amp;TEXT('Ш Лист 1'!T18,"дд.мм.гг"),"")</f>
        <v>6:20
29.00.23</v>
      </c>
      <c r="C9" s="60" t="str">
        <f>IF('Ш Лист 1'!T18,TEXT('Ш Лист 1'!W18,"ч:мм")&amp;CHAR(10)&amp;TEXT('Ш Лист 1'!V18,"дд.мм.гг"),"")</f>
        <v>17:20
29.00.23</v>
      </c>
      <c r="D9" s="55"/>
      <c r="E9" s="55"/>
      <c r="F9" s="63">
        <f>IFERROR('Ш Лист 1'!R18-'Ш Лист 1'!P18,0)</f>
        <v>1</v>
      </c>
      <c r="G9" s="55"/>
      <c r="H9" s="55"/>
      <c r="I9" s="55"/>
      <c r="J9" s="55"/>
      <c r="K9" s="55"/>
      <c r="L9" s="55"/>
      <c r="M9" s="55"/>
      <c r="N9" s="61">
        <f>IF('Ш Лист 1'!R18,'Ш Лист 1'!R18,"")</f>
        <v>123891</v>
      </c>
      <c r="P9" s="92">
        <v>4</v>
      </c>
    </row>
    <row r="10" spans="1:16" ht="16.7" customHeight="1" x14ac:dyDescent="0.25">
      <c r="A10" s="90" t="s">
        <v>149</v>
      </c>
      <c r="B10" s="60" t="str">
        <f>IF('Ш Лист 1'!T20,TEXT('Ш Лист 1'!U20,"ч:мм")&amp;CHAR(10)&amp;TEXT('Ш Лист 1'!T20,"дд.мм.гг"),"")</f>
        <v>5:50
29.00.23</v>
      </c>
      <c r="C10" s="60" t="str">
        <f>IF('Ш Лист 1'!T20,TEXT('Ш Лист 1'!W20,"ч:мм")&amp;CHAR(10)&amp;TEXT('Ш Лист 1'!V20,"дд.мм.гг"),"")</f>
        <v>17:12
29.00.23</v>
      </c>
      <c r="D10" s="55"/>
      <c r="E10" s="55"/>
      <c r="F10" s="63">
        <f>IFERROR('Ш Лист 1'!R20-'Ш Лист 1'!P20,0)</f>
        <v>1</v>
      </c>
      <c r="G10" s="55"/>
      <c r="H10" s="55"/>
      <c r="I10" s="55"/>
      <c r="J10" s="55"/>
      <c r="K10" s="55"/>
      <c r="L10" s="55"/>
      <c r="M10" s="55"/>
      <c r="N10" s="61">
        <f>IF('Ш Лист 1'!R20,'Ш Лист 1'!R20,"")</f>
        <v>123892</v>
      </c>
      <c r="P10" s="92">
        <v>5</v>
      </c>
    </row>
    <row r="11" spans="1:16" ht="16.7" customHeight="1" x14ac:dyDescent="0.25">
      <c r="A11" s="90" t="s">
        <v>149</v>
      </c>
      <c r="B11" s="60" t="str">
        <f>IF('Ш Лист 1'!T22,TEXT('Ш Лист 1'!U22,"ч:мм")&amp;CHAR(10)&amp;TEXT('Ш Лист 1'!T22,"дд.мм.гг"),"")</f>
        <v>7:20
29.00.23</v>
      </c>
      <c r="C11" s="60" t="str">
        <f>IF('Ш Лист 1'!T22,TEXT('Ш Лист 1'!W22,"ч:мм")&amp;CHAR(10)&amp;TEXT('Ш Лист 1'!V22,"дд.мм.гг"),"")</f>
        <v>15:50
29.00.23</v>
      </c>
      <c r="D11" s="55"/>
      <c r="E11" s="55"/>
      <c r="F11" s="63">
        <f>IFERROR('Ш Лист 1'!R22-'Ш Лист 1'!P22,0)</f>
        <v>1</v>
      </c>
      <c r="G11" s="55"/>
      <c r="H11" s="55"/>
      <c r="I11" s="55"/>
      <c r="J11" s="55"/>
      <c r="K11" s="55"/>
      <c r="L11" s="55"/>
      <c r="M11" s="55"/>
      <c r="N11" s="61">
        <f>IF('Ш Лист 1'!R22,'Ш Лист 1'!R22,"")</f>
        <v>123893</v>
      </c>
      <c r="P11" s="92">
        <v>6</v>
      </c>
    </row>
    <row r="12" spans="1:16" ht="16.7" customHeight="1" x14ac:dyDescent="0.25">
      <c r="A12" s="90" t="s">
        <v>149</v>
      </c>
      <c r="B12" s="60" t="str">
        <f>IF('Ш Лист 1'!T24,TEXT('Ш Лист 1'!U24,"ч:мм")&amp;CHAR(10)&amp;TEXT('Ш Лист 1'!T24,"дд.мм.гг"),"")</f>
        <v>12:20
29.00.23</v>
      </c>
      <c r="C12" s="60" t="str">
        <f>IF('Ш Лист 1'!T24,TEXT('Ш Лист 1'!W24,"ч:мм")&amp;CHAR(10)&amp;TEXT('Ш Лист 1'!V24,"дд.мм.гг"),"")</f>
        <v>18:10
29.00.23</v>
      </c>
      <c r="D12" s="55"/>
      <c r="E12" s="55"/>
      <c r="F12" s="63">
        <f>IFERROR('Ш Лист 1'!R24-'Ш Лист 1'!P24,0)</f>
        <v>1</v>
      </c>
      <c r="G12" s="55"/>
      <c r="H12" s="55"/>
      <c r="I12" s="55"/>
      <c r="J12" s="55"/>
      <c r="K12" s="55"/>
      <c r="L12" s="55"/>
      <c r="M12" s="55"/>
      <c r="N12" s="61">
        <f>IF('Ш Лист 1'!R24,'Ш Лист 1'!R24,"")</f>
        <v>123894</v>
      </c>
      <c r="P12" s="92">
        <v>7</v>
      </c>
    </row>
    <row r="13" spans="1:16" ht="16.7" customHeight="1" x14ac:dyDescent="0.25">
      <c r="A13" s="90" t="s">
        <v>149</v>
      </c>
      <c r="B13" s="60" t="str">
        <f>IF('Ш Лист 1'!T26,TEXT('Ш Лист 1'!U26,"ч:мм")&amp;CHAR(10)&amp;TEXT('Ш Лист 1'!T26,"дд.мм.гг"),"")</f>
        <v>12:30
29.00.23</v>
      </c>
      <c r="C13" s="60" t="str">
        <f>IF('Ш Лист 1'!T26,TEXT('Ш Лист 1'!W26,"ч:мм")&amp;CHAR(10)&amp;TEXT('Ш Лист 1'!V26,"дд.мм.гг"),"")</f>
        <v>19:10
29.00.23</v>
      </c>
      <c r="D13" s="55"/>
      <c r="E13" s="55"/>
      <c r="F13" s="63">
        <f>IFERROR('Ш Лист 1'!R26-'Ш Лист 1'!P26,0)</f>
        <v>1</v>
      </c>
      <c r="G13" s="55"/>
      <c r="H13" s="55"/>
      <c r="I13" s="55"/>
      <c r="J13" s="55"/>
      <c r="K13" s="55"/>
      <c r="L13" s="55"/>
      <c r="M13" s="55"/>
      <c r="N13" s="61">
        <f>IF('Ш Лист 1'!R26,'Ш Лист 1'!R26,"")</f>
        <v>123895</v>
      </c>
      <c r="P13" s="92">
        <v>8</v>
      </c>
    </row>
    <row r="14" spans="1:16" ht="16.7" customHeight="1" x14ac:dyDescent="0.25">
      <c r="A14" s="90"/>
      <c r="B14" s="60" t="str">
        <f>IF('Ш Лист 1'!T28,TEXT('Ш Лист 1'!U28,"ч:мм")&amp;CHAR(10)&amp;TEXT('Ш Лист 1'!T28,"дд.мм.гг"),"")</f>
        <v/>
      </c>
      <c r="C14" s="60" t="str">
        <f>IF('Ш Лист 1'!T28,TEXT('Ш Лист 1'!W28,"ч:мм")&amp;CHAR(10)&amp;TEXT('Ш Лист 1'!V28,"дд.мм.гг"),"")</f>
        <v/>
      </c>
      <c r="D14" s="55"/>
      <c r="E14" s="55"/>
      <c r="F14" s="63">
        <f>IFERROR('Ш Лист 1'!R28-'Ш Лист 1'!P28,0)</f>
        <v>0</v>
      </c>
      <c r="G14" s="55"/>
      <c r="H14" s="55"/>
      <c r="I14" s="55"/>
      <c r="J14" s="55"/>
      <c r="K14" s="55"/>
      <c r="L14" s="55"/>
      <c r="M14" s="55"/>
      <c r="N14" s="61" t="str">
        <f>IF('Ш Лист 1'!R28,'Ш Лист 1'!R28,"")</f>
        <v/>
      </c>
      <c r="P14" s="92">
        <v>9</v>
      </c>
    </row>
    <row r="15" spans="1:16" ht="16.7" customHeight="1" x14ac:dyDescent="0.25">
      <c r="A15" s="90"/>
      <c r="B15" s="60" t="str">
        <f>IF('Ш Лист 1'!T30,TEXT('Ш Лист 1'!U30,"ч:мм")&amp;CHAR(10)&amp;TEXT('Ш Лист 1'!T30,"дд.мм.гг"),"")</f>
        <v/>
      </c>
      <c r="C15" s="60" t="str">
        <f>IF('Ш Лист 1'!T30,TEXT('Ш Лист 1'!W30,"ч:мм")&amp;CHAR(10)&amp;TEXT('Ш Лист 1'!V30,"дд.мм.гг"),"")</f>
        <v/>
      </c>
      <c r="D15" s="55"/>
      <c r="E15" s="55"/>
      <c r="F15" s="63">
        <f>IFERROR('Ш Лист 1'!R30-'Ш Лист 1'!P30,0)</f>
        <v>0</v>
      </c>
      <c r="G15" s="55"/>
      <c r="H15" s="55"/>
      <c r="I15" s="55"/>
      <c r="J15" s="55"/>
      <c r="K15" s="55"/>
      <c r="L15" s="55"/>
      <c r="M15" s="55"/>
      <c r="N15" s="61" t="str">
        <f>IF('Ш Лист 1'!R30,'Ш Лист 1'!R30,"")</f>
        <v/>
      </c>
      <c r="P15" s="92">
        <v>10</v>
      </c>
    </row>
    <row r="16" spans="1:16" x14ac:dyDescent="0.25">
      <c r="A16" s="22" t="s">
        <v>118</v>
      </c>
      <c r="B16" s="56"/>
      <c r="C16" s="56"/>
      <c r="D16" s="63">
        <f t="shared" ref="D16:E16" si="0">SUM(D6:D15)</f>
        <v>0</v>
      </c>
      <c r="E16" s="63">
        <f t="shared" si="0"/>
        <v>0</v>
      </c>
      <c r="F16" s="63">
        <f>SUM(F6:F15)</f>
        <v>118</v>
      </c>
      <c r="G16" s="63">
        <f t="shared" ref="G16" si="1">SUM(G6:G15)</f>
        <v>0</v>
      </c>
      <c r="H16" s="63">
        <f t="shared" ref="H16:I16" si="2">SUM(H6:H15)</f>
        <v>0</v>
      </c>
      <c r="I16" s="63">
        <f t="shared" si="2"/>
        <v>0</v>
      </c>
      <c r="J16" s="63">
        <f t="shared" ref="J16" si="3">SUM(J6:J15)</f>
        <v>0</v>
      </c>
      <c r="K16" s="63">
        <f t="shared" ref="K16:L16" si="4">SUM(K6:K15)</f>
        <v>0</v>
      </c>
      <c r="L16" s="63">
        <f t="shared" si="4"/>
        <v>0</v>
      </c>
      <c r="M16" s="63">
        <f t="shared" ref="M16" si="5">SUM(M6:M15)</f>
        <v>0</v>
      </c>
      <c r="N16" s="56"/>
    </row>
    <row r="17" spans="1:16" x14ac:dyDescent="0.25">
      <c r="A17" s="91" t="s">
        <v>35</v>
      </c>
    </row>
    <row r="18" spans="1:16" ht="12" customHeight="1" x14ac:dyDescent="0.25">
      <c r="A18" s="147" t="str">
        <f>INDEX(auto[тип палива],MATCH('Ш Лист 1'!L33,auto[назва автомобіля],0))</f>
        <v>ДТ</v>
      </c>
      <c r="B18" s="28">
        <f>INDEX(auto[розхід палива на 100 км],MATCH('Ш Лист 1'!L33,auto[назва автомобіля],0))</f>
        <v>11.5</v>
      </c>
      <c r="C18" s="65" t="s">
        <v>119</v>
      </c>
      <c r="D18" s="66">
        <f>F16</f>
        <v>118</v>
      </c>
      <c r="E18" s="147" t="s">
        <v>121</v>
      </c>
      <c r="F18" s="150">
        <f>A15</f>
        <v>0</v>
      </c>
      <c r="G18" s="147" t="s">
        <v>120</v>
      </c>
      <c r="H18" s="151">
        <f>ROUND(B18*D18/C19-B18*D18/C19*F18,0)</f>
        <v>14</v>
      </c>
      <c r="I18" s="149" t="s">
        <v>122</v>
      </c>
      <c r="J18" s="4"/>
      <c r="K18" s="4"/>
      <c r="L18" s="4"/>
      <c r="M18" s="4"/>
      <c r="N18" s="4"/>
    </row>
    <row r="19" spans="1:16" ht="12" customHeight="1" x14ac:dyDescent="0.25">
      <c r="A19" s="147"/>
      <c r="B19" s="4"/>
      <c r="C19" s="4">
        <v>100</v>
      </c>
      <c r="D19" s="4"/>
      <c r="E19" s="147"/>
      <c r="F19" s="150"/>
      <c r="G19" s="147"/>
      <c r="H19" s="151"/>
      <c r="I19" s="149"/>
      <c r="J19" s="4"/>
      <c r="K19" s="4"/>
      <c r="L19" s="4"/>
      <c r="M19" s="4"/>
      <c r="N19" s="4"/>
    </row>
    <row r="20" spans="1:16" ht="12" customHeight="1" x14ac:dyDescent="0.25">
      <c r="A20" s="147" t="str">
        <f>IF(HideOil,"",INDEX(auto[тип мастила],MATCH('Ш Лист 1'!L33,auto[назва автомобіля],0)))</f>
        <v/>
      </c>
      <c r="B20" s="28" t="str">
        <f>IF(HideOil,"",INDEX(auto[розхід оливи],MATCH('Ш Лист 1'!L33,auto[назва автомобіля],0)))</f>
        <v/>
      </c>
      <c r="C20" s="65" t="str">
        <f>IF(HideOil,"","x")</f>
        <v/>
      </c>
      <c r="D20" s="66" t="str">
        <f>IF(HideOil,"",H18)</f>
        <v/>
      </c>
      <c r="E20" s="147" t="str">
        <f>IF(HideOil,"","=")</f>
        <v/>
      </c>
      <c r="F20" s="148" t="str">
        <f>IF(HideOil,"",ROUND(B20*D20/C21,1))</f>
        <v/>
      </c>
      <c r="G20" s="149" t="str">
        <f>IF(HideOil,"","л")</f>
        <v/>
      </c>
      <c r="H20" s="4"/>
      <c r="I20" s="4"/>
      <c r="J20" s="4"/>
      <c r="K20" s="4"/>
      <c r="L20" s="4"/>
      <c r="M20" s="4"/>
      <c r="N20" s="4"/>
      <c r="P20" t="b">
        <v>1</v>
      </c>
    </row>
    <row r="21" spans="1:16" ht="12" customHeight="1" x14ac:dyDescent="0.25">
      <c r="A21" s="147"/>
      <c r="B21" s="4"/>
      <c r="C21" s="4" t="str">
        <f>IF(HideOil,"",100)</f>
        <v/>
      </c>
      <c r="D21" s="4"/>
      <c r="E21" s="147"/>
      <c r="F21" s="148"/>
      <c r="G21" s="149"/>
      <c r="H21" s="4"/>
      <c r="I21" s="4"/>
      <c r="J21" s="4"/>
      <c r="K21" s="4"/>
      <c r="L21" s="4"/>
      <c r="M21" s="4"/>
      <c r="N21" s="4"/>
    </row>
    <row r="22" spans="1:16" ht="15.75" x14ac:dyDescent="0.25">
      <c r="A22" s="33" t="s">
        <v>130</v>
      </c>
      <c r="B22" s="68">
        <f>F16</f>
        <v>118</v>
      </c>
      <c r="C22" s="4" t="s">
        <v>131</v>
      </c>
    </row>
    <row r="23" spans="1:16" ht="15.75" x14ac:dyDescent="0.25">
      <c r="A23" s="33" t="s">
        <v>129</v>
      </c>
      <c r="B23" s="68">
        <f>H18</f>
        <v>14</v>
      </c>
      <c r="C23" s="4" t="s">
        <v>122</v>
      </c>
    </row>
    <row r="24" spans="1:16" ht="15.75" x14ac:dyDescent="0.25">
      <c r="A24" s="33" t="s">
        <v>127</v>
      </c>
      <c r="D24" s="67" t="str">
        <f>'Ш Лист 1'!J5</f>
        <v>солдат</v>
      </c>
      <c r="E24" s="64"/>
      <c r="F24" s="64"/>
      <c r="G24" s="64"/>
      <c r="H24" s="64"/>
      <c r="I24" s="64"/>
      <c r="J24" s="64"/>
      <c r="K24" s="64"/>
      <c r="M24" s="67" t="str">
        <f>'Ш Лист 1'!L5</f>
        <v>Фара К.Л.</v>
      </c>
    </row>
    <row r="25" spans="1:16" ht="12" customHeight="1" x14ac:dyDescent="0.25">
      <c r="B25" s="144" t="s">
        <v>128</v>
      </c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</row>
    <row r="26" spans="1:16" ht="15.75" x14ac:dyDescent="0.25">
      <c r="A26" s="32" t="s">
        <v>126</v>
      </c>
      <c r="G26" s="28" t="str">
        <f>IFERROR(INDEX(Таблиця3[звання],MATCH(N26,Таблиця3[ПІБ],0)),"")</f>
        <v>солдат</v>
      </c>
      <c r="H26" s="64"/>
      <c r="I26" s="64"/>
      <c r="J26" s="64"/>
      <c r="K26" s="64"/>
      <c r="L26" s="64"/>
      <c r="M26" s="64"/>
      <c r="N26" s="93" t="s">
        <v>51</v>
      </c>
    </row>
    <row r="27" spans="1:16" ht="16.350000000000001" customHeight="1" x14ac:dyDescent="0.25">
      <c r="A27" s="4" t="s">
        <v>125</v>
      </c>
      <c r="B27" s="4">
        <v>2023</v>
      </c>
      <c r="C27" s="4" t="s">
        <v>82</v>
      </c>
      <c r="G27" s="145" t="s">
        <v>132</v>
      </c>
      <c r="H27" s="145"/>
      <c r="I27" s="145"/>
      <c r="J27" s="145"/>
      <c r="K27" s="145"/>
      <c r="L27" s="145"/>
      <c r="M27" s="145"/>
      <c r="N27" s="145"/>
    </row>
    <row r="28" spans="1:16" x14ac:dyDescent="0.25">
      <c r="G28" s="101" t="s">
        <v>150</v>
      </c>
    </row>
  </sheetData>
  <mergeCells count="23">
    <mergeCell ref="B25:N25"/>
    <mergeCell ref="G27:N27"/>
    <mergeCell ref="A1:N1"/>
    <mergeCell ref="A20:A21"/>
    <mergeCell ref="E20:E21"/>
    <mergeCell ref="F20:F21"/>
    <mergeCell ref="I18:I19"/>
    <mergeCell ref="G20:G21"/>
    <mergeCell ref="L2:M3"/>
    <mergeCell ref="N2:N4"/>
    <mergeCell ref="A18:A19"/>
    <mergeCell ref="E18:E19"/>
    <mergeCell ref="F18:F19"/>
    <mergeCell ref="G18:G19"/>
    <mergeCell ref="H18:H19"/>
    <mergeCell ref="A2:A4"/>
    <mergeCell ref="B2:C3"/>
    <mergeCell ref="G3:H3"/>
    <mergeCell ref="D2:H2"/>
    <mergeCell ref="I2:K3"/>
    <mergeCell ref="D3:D4"/>
    <mergeCell ref="E3:E4"/>
    <mergeCell ref="F3:F4"/>
  </mergeCells>
  <dataValidations count="2">
    <dataValidation type="list" allowBlank="1" showInputMessage="1" showErrorMessage="1" sqref="A17" xr:uid="{0D5C734F-334E-4E94-9D8E-A426D73DA22C}">
      <formula1>TypeRoad</formula1>
    </dataValidation>
    <dataValidation type="list" allowBlank="1" showInputMessage="1" showErrorMessage="1" sqref="N26" xr:uid="{4BD53191-3FB8-456D-9AF1-5CC7CDC23BE3}">
      <formula1>PIB</formula1>
    </dataValidation>
  </dataValidations>
  <pageMargins left="0.59055118110236227" right="0.59055118110236227" top="0.78740157480314965" bottom="0.39370078740157483" header="0" footer="0"/>
  <pageSetup paperSize="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print="0" autoFill="0" autoLine="0" autoPict="0">
                <anchor moveWithCells="1">
                  <from>
                    <xdr:col>15</xdr:col>
                    <xdr:colOff>104775</xdr:colOff>
                    <xdr:row>18</xdr:row>
                    <xdr:rowOff>47625</xdr:rowOff>
                  </from>
                  <to>
                    <xdr:col>17</xdr:col>
                    <xdr:colOff>581025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3B7C1-B13B-45D7-BC82-83A7CD5E9EB3}">
  <sheetPr codeName="Аркуш4"/>
  <dimension ref="A2:AC7"/>
  <sheetViews>
    <sheetView topLeftCell="I1" workbookViewId="0">
      <selection activeCell="Q3" sqref="Q3"/>
    </sheetView>
  </sheetViews>
  <sheetFormatPr defaultRowHeight="15" x14ac:dyDescent="0.25"/>
  <cols>
    <col min="1" max="1" width="15.85546875" customWidth="1"/>
    <col min="2" max="2" width="16.85546875" bestFit="1" customWidth="1"/>
    <col min="3" max="3" width="12.85546875" bestFit="1" customWidth="1"/>
    <col min="4" max="4" width="11" customWidth="1"/>
    <col min="5" max="5" width="13.85546875" bestFit="1" customWidth="1"/>
    <col min="6" max="6" width="12.140625" customWidth="1"/>
    <col min="7" max="7" width="13.5703125" customWidth="1"/>
    <col min="8" max="14" width="16.5703125" customWidth="1"/>
    <col min="16" max="16" width="35.42578125" bestFit="1" customWidth="1"/>
    <col min="17" max="17" width="11.42578125" customWidth="1"/>
    <col min="19" max="19" width="30.140625" bestFit="1" customWidth="1"/>
    <col min="20" max="20" width="9.85546875" bestFit="1" customWidth="1"/>
    <col min="21" max="21" width="12.5703125" bestFit="1" customWidth="1"/>
    <col min="22" max="22" width="12.140625" bestFit="1" customWidth="1"/>
    <col min="26" max="26" width="16.85546875" customWidth="1"/>
    <col min="27" max="27" width="14.42578125" bestFit="1" customWidth="1"/>
    <col min="28" max="28" width="15.140625" customWidth="1"/>
    <col min="29" max="29" width="34.42578125" bestFit="1" customWidth="1"/>
  </cols>
  <sheetData>
    <row r="2" spans="1:29" s="54" customFormat="1" ht="45" x14ac:dyDescent="0.25">
      <c r="A2" s="54" t="s">
        <v>23</v>
      </c>
      <c r="B2" s="54" t="s">
        <v>24</v>
      </c>
      <c r="C2" s="54" t="s">
        <v>25</v>
      </c>
      <c r="D2" s="54" t="s">
        <v>26</v>
      </c>
      <c r="E2" s="54" t="s">
        <v>27</v>
      </c>
      <c r="F2" s="54" t="s">
        <v>134</v>
      </c>
      <c r="G2" s="54" t="s">
        <v>28</v>
      </c>
      <c r="H2" s="54" t="s">
        <v>93</v>
      </c>
      <c r="I2" s="54" t="s">
        <v>0</v>
      </c>
      <c r="J2" s="54" t="s">
        <v>136</v>
      </c>
      <c r="K2" s="54" t="s">
        <v>146</v>
      </c>
      <c r="L2" s="54" t="s">
        <v>147</v>
      </c>
      <c r="M2" s="54" t="s">
        <v>148</v>
      </c>
      <c r="P2" s="54" t="s">
        <v>33</v>
      </c>
      <c r="Q2" s="54" t="s">
        <v>34</v>
      </c>
      <c r="S2" s="54" t="s">
        <v>37</v>
      </c>
      <c r="T2" s="54" t="s">
        <v>36</v>
      </c>
      <c r="U2" s="54" t="s">
        <v>69</v>
      </c>
      <c r="V2" s="54" t="s">
        <v>38</v>
      </c>
      <c r="Z2" s="54" t="s">
        <v>137</v>
      </c>
      <c r="AA2" s="54" t="s">
        <v>138</v>
      </c>
      <c r="AB2" s="54" t="s">
        <v>139</v>
      </c>
      <c r="AC2" s="54" t="s">
        <v>140</v>
      </c>
    </row>
    <row r="3" spans="1:29" x14ac:dyDescent="0.25">
      <c r="A3" t="s">
        <v>29</v>
      </c>
      <c r="B3" t="s">
        <v>30</v>
      </c>
      <c r="C3" t="s">
        <v>31</v>
      </c>
      <c r="D3">
        <v>7</v>
      </c>
      <c r="E3" t="s">
        <v>124</v>
      </c>
      <c r="F3">
        <v>1</v>
      </c>
      <c r="G3" t="s">
        <v>32</v>
      </c>
      <c r="H3" t="s">
        <v>94</v>
      </c>
      <c r="I3" s="95" t="s">
        <v>51</v>
      </c>
      <c r="J3" t="str">
        <f>IFERROR(INDEX(Таблиця3[звання],MATCH(auto[[#This Row],[Водій]],Таблиця3[ПІБ],0)),"")</f>
        <v>солдат</v>
      </c>
      <c r="K3" t="s">
        <v>79</v>
      </c>
      <c r="L3" s="95" t="s">
        <v>46</v>
      </c>
      <c r="M3" t="str">
        <f>IFERROR(INDEX(Таблиця3[звання],MATCH(auto[[#This Row],[Старший]],Таблиця3[ПІБ],0)),"")</f>
        <v>лейтенант</v>
      </c>
      <c r="P3" t="s">
        <v>35</v>
      </c>
      <c r="Q3" s="1">
        <v>0.15</v>
      </c>
      <c r="S3" t="s">
        <v>76</v>
      </c>
      <c r="T3" t="s">
        <v>39</v>
      </c>
      <c r="U3" t="s">
        <v>70</v>
      </c>
      <c r="V3" t="s">
        <v>40</v>
      </c>
      <c r="Z3" t="s">
        <v>141</v>
      </c>
      <c r="AA3" t="s">
        <v>142</v>
      </c>
      <c r="AB3" t="s">
        <v>90</v>
      </c>
      <c r="AC3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Кременець - Тернопіль</v>
      </c>
    </row>
    <row r="4" spans="1:29" x14ac:dyDescent="0.25">
      <c r="A4" t="s">
        <v>52</v>
      </c>
      <c r="B4" t="s">
        <v>53</v>
      </c>
      <c r="C4" t="s">
        <v>54</v>
      </c>
      <c r="D4">
        <v>11.5</v>
      </c>
      <c r="E4" t="s">
        <v>123</v>
      </c>
      <c r="F4">
        <v>1.2</v>
      </c>
      <c r="G4" t="s">
        <v>32</v>
      </c>
      <c r="H4" t="s">
        <v>94</v>
      </c>
      <c r="I4" s="95" t="s">
        <v>51</v>
      </c>
      <c r="J4" t="str">
        <f>IFERROR(INDEX(Таблиця3[звання],MATCH(auto[[#This Row],[Водій]],Таблиця3[ПІБ],0)),"")</f>
        <v>солдат</v>
      </c>
      <c r="K4" t="s">
        <v>79</v>
      </c>
      <c r="L4" s="95" t="s">
        <v>40</v>
      </c>
      <c r="M4" t="str">
        <f>IFERROR(INDEX(Таблиця3[звання],MATCH(auto[[#This Row],[Старший]],Таблиця3[ПІБ],0)),"")</f>
        <v>капітан</v>
      </c>
      <c r="S4" t="s">
        <v>43</v>
      </c>
      <c r="T4" t="s">
        <v>41</v>
      </c>
      <c r="U4" t="s">
        <v>72</v>
      </c>
      <c r="V4" t="s">
        <v>42</v>
      </c>
      <c r="Z4" t="s">
        <v>143</v>
      </c>
      <c r="AA4" t="s">
        <v>144</v>
      </c>
      <c r="AC4" t="str">
        <f>IF(Таблиця4[[#This Row],[в один кінець]]="так",Таблиця4[[#This Row],[Звідки]]&amp;" - "&amp;Таблиця4[[#This Row],[Куди]],Таблиця4[[#This Row],[Звідки]]&amp;" - "&amp;Таблиця4[[#This Row],[Куди]]&amp;" - "&amp;Таблиця4[[#This Row],[Звідки]])</f>
        <v>Львів - Хмельницький - Львів</v>
      </c>
    </row>
    <row r="5" spans="1:29" x14ac:dyDescent="0.25">
      <c r="S5" t="s">
        <v>44</v>
      </c>
      <c r="T5" t="s">
        <v>45</v>
      </c>
      <c r="U5" t="s">
        <v>71</v>
      </c>
      <c r="V5" t="s">
        <v>46</v>
      </c>
    </row>
    <row r="6" spans="1:29" x14ac:dyDescent="0.25">
      <c r="S6" t="s">
        <v>47</v>
      </c>
      <c r="T6" t="s">
        <v>48</v>
      </c>
      <c r="U6" t="s">
        <v>73</v>
      </c>
      <c r="V6" t="s">
        <v>49</v>
      </c>
    </row>
    <row r="7" spans="1:29" x14ac:dyDescent="0.25">
      <c r="S7" t="s">
        <v>50</v>
      </c>
      <c r="T7" t="s">
        <v>41</v>
      </c>
      <c r="U7" t="s">
        <v>72</v>
      </c>
      <c r="V7" t="s">
        <v>51</v>
      </c>
    </row>
  </sheetData>
  <dataValidations count="1">
    <dataValidation type="list" allowBlank="1" showInputMessage="1" showErrorMessage="1" sqref="I3:I4 L3:L4" xr:uid="{572A697D-2C0B-4635-B3C0-9A8A2C27A54C}">
      <formula1>PIB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43</vt:i4>
      </vt:variant>
    </vt:vector>
  </HeadingPairs>
  <TitlesOfParts>
    <vt:vector size="46" baseType="lpstr">
      <vt:lpstr>Ш Лист 1</vt:lpstr>
      <vt:lpstr>Ш Лист 2</vt:lpstr>
      <vt:lpstr>Довідники</vt:lpstr>
      <vt:lpstr>ArrivalDate</vt:lpstr>
      <vt:lpstr>ArrivalTime</vt:lpstr>
      <vt:lpstr>BaseDoc</vt:lpstr>
      <vt:lpstr>BaseNumber</vt:lpstr>
      <vt:lpstr>CountFuel</vt:lpstr>
      <vt:lpstr>CountOil</vt:lpstr>
      <vt:lpstr>Date</vt:lpstr>
      <vt:lpstr>DateEndRL</vt:lpstr>
      <vt:lpstr>DepartureDate</vt:lpstr>
      <vt:lpstr>DepartureTime</vt:lpstr>
      <vt:lpstr>EndSpeedometer1</vt:lpstr>
      <vt:lpstr>EndSpeedometer10</vt:lpstr>
      <vt:lpstr>EndSpeedometer2</vt:lpstr>
      <vt:lpstr>EndSpeedometer3</vt:lpstr>
      <vt:lpstr>EndSpeedometer4</vt:lpstr>
      <vt:lpstr>EndSpeedometer5</vt:lpstr>
      <vt:lpstr>EndSpeedometer6</vt:lpstr>
      <vt:lpstr>EndSpeedometer7</vt:lpstr>
      <vt:lpstr>EndSpeedometer8</vt:lpstr>
      <vt:lpstr>EndSpeedometer9</vt:lpstr>
      <vt:lpstr>FuelArea</vt:lpstr>
      <vt:lpstr>HeadTechCenter</vt:lpstr>
      <vt:lpstr>HideOil</vt:lpstr>
      <vt:lpstr>Mechanic</vt:lpstr>
      <vt:lpstr>Number</vt:lpstr>
      <vt:lpstr>OilAera</vt:lpstr>
      <vt:lpstr>Path</vt:lpstr>
      <vt:lpstr>PIB</vt:lpstr>
      <vt:lpstr>'Ш Лист 1'!Print_Area</vt:lpstr>
      <vt:lpstr>'Ш Лист 2'!Print_Area</vt:lpstr>
      <vt:lpstr>Receiver</vt:lpstr>
      <vt:lpstr>Route</vt:lpstr>
      <vt:lpstr>Routes</vt:lpstr>
      <vt:lpstr>Senjor</vt:lpstr>
      <vt:lpstr>StartSpeedometer1</vt:lpstr>
      <vt:lpstr>TripArea</vt:lpstr>
      <vt:lpstr>TripCount</vt:lpstr>
      <vt:lpstr>TripRoutArea</vt:lpstr>
      <vt:lpstr>TypeRoad</vt:lpstr>
      <vt:lpstr>Vehicle</vt:lpstr>
      <vt:lpstr>Vehicles</vt:lpstr>
      <vt:lpstr>Verifier</vt:lpstr>
      <vt:lpstr>СhiefVec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Веніамін Зданевич</dc:creator>
  <cp:lastModifiedBy>Arsen Hryhoriak</cp:lastModifiedBy>
  <cp:lastPrinted>2023-10-02T13:41:42Z</cp:lastPrinted>
  <dcterms:created xsi:type="dcterms:W3CDTF">2015-06-05T18:19:34Z</dcterms:created>
  <dcterms:modified xsi:type="dcterms:W3CDTF">2023-12-12T16:28:30Z</dcterms:modified>
</cp:coreProperties>
</file>